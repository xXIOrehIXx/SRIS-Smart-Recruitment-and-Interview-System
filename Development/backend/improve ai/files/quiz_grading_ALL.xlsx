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final_project\SRIS-Smart-Recruitment-and-Interview-System\Development\backend\improve ai\files\"/>
    </mc:Choice>
  </mc:AlternateContent>
  <xr:revisionPtr revIDLastSave="0" documentId="13_ncr:1_{BA5DF1DE-E9D7-4E06-A68E-66C123F51DA0}" xr6:coauthVersionLast="47" xr6:coauthVersionMax="47" xr10:uidLastSave="{00000000-0000-0000-0000-000000000000}"/>
  <bookViews>
    <workbookView xWindow="-120" yWindow="-120" windowWidth="38640" windowHeight="21120" activeTab="3" xr2:uid="{00000000-000D-0000-FFFF-FFFF00000000}"/>
  </bookViews>
  <sheets>
    <sheet name="0_TongHop" sheetId="1" r:id="rId1"/>
    <sheet name="v1_baseline" sheetId="2" r:id="rId2"/>
    <sheet name="v2_skill_extraction" sheetId="3" r:id="rId3"/>
    <sheet name="v3_fewshot" sheetId="4" r:id="rId4"/>
    <sheet name="v4_situational" sheetId="5" r:id="rId5"/>
    <sheet name="v5_self_critique" sheetId="6" r:id="rId6"/>
  </sheets>
  <calcPr calcId="191029"/>
</workbook>
</file>

<file path=xl/calcChain.xml><?xml version="1.0" encoding="utf-8"?>
<calcChain xmlns="http://schemas.openxmlformats.org/spreadsheetml/2006/main">
  <c r="J112" i="6" l="1"/>
  <c r="K112" i="6" s="1"/>
  <c r="J111" i="6"/>
  <c r="K111" i="6" s="1"/>
  <c r="J110" i="6"/>
  <c r="K110" i="6" s="1"/>
  <c r="J109" i="6"/>
  <c r="K109" i="6" s="1"/>
  <c r="J108" i="6"/>
  <c r="K108" i="6" s="1"/>
  <c r="J107" i="6"/>
  <c r="K107" i="6" s="1"/>
  <c r="J106" i="6"/>
  <c r="K106" i="6" s="1"/>
  <c r="J105" i="6"/>
  <c r="K105" i="6" s="1"/>
  <c r="J104" i="6"/>
  <c r="K104" i="6" s="1"/>
  <c r="J103" i="6"/>
  <c r="K103" i="6" s="1"/>
  <c r="J102" i="6"/>
  <c r="K102" i="6" s="1"/>
  <c r="J101" i="6"/>
  <c r="K101" i="6" s="1"/>
  <c r="J100" i="6"/>
  <c r="K100" i="6" s="1"/>
  <c r="J99" i="6"/>
  <c r="K99" i="6" s="1"/>
  <c r="J98" i="6"/>
  <c r="K98" i="6" s="1"/>
  <c r="J97" i="6"/>
  <c r="K97" i="6" s="1"/>
  <c r="J96" i="6"/>
  <c r="K96" i="6" s="1"/>
  <c r="J95" i="6"/>
  <c r="K95" i="6" s="1"/>
  <c r="J94" i="6"/>
  <c r="K94" i="6" s="1"/>
  <c r="J93" i="6"/>
  <c r="K93" i="6" s="1"/>
  <c r="J92" i="6"/>
  <c r="K92" i="6" s="1"/>
  <c r="J91" i="6"/>
  <c r="K91" i="6" s="1"/>
  <c r="J90" i="6"/>
  <c r="K90" i="6" s="1"/>
  <c r="J89" i="6"/>
  <c r="K89" i="6" s="1"/>
  <c r="J88" i="6"/>
  <c r="K88" i="6" s="1"/>
  <c r="J87" i="6"/>
  <c r="K87" i="6" s="1"/>
  <c r="J86" i="6"/>
  <c r="K86" i="6" s="1"/>
  <c r="J85" i="6"/>
  <c r="K85" i="6" s="1"/>
  <c r="J84" i="6"/>
  <c r="K84" i="6" s="1"/>
  <c r="J83" i="6"/>
  <c r="K83" i="6" s="1"/>
  <c r="J82" i="6"/>
  <c r="K82" i="6" s="1"/>
  <c r="J81" i="6"/>
  <c r="K81" i="6" s="1"/>
  <c r="J80" i="6"/>
  <c r="K80" i="6" s="1"/>
  <c r="J79" i="6"/>
  <c r="K79" i="6" s="1"/>
  <c r="J78" i="6"/>
  <c r="K78" i="6" s="1"/>
  <c r="J77" i="6"/>
  <c r="K77" i="6" s="1"/>
  <c r="J76" i="6"/>
  <c r="K76" i="6" s="1"/>
  <c r="J75" i="6"/>
  <c r="K75" i="6" s="1"/>
  <c r="J74" i="6"/>
  <c r="K74" i="6" s="1"/>
  <c r="J73" i="6"/>
  <c r="K73" i="6" s="1"/>
  <c r="J72" i="6"/>
  <c r="K72" i="6" s="1"/>
  <c r="J71" i="6"/>
  <c r="K71" i="6" s="1"/>
  <c r="J70" i="6"/>
  <c r="K70" i="6" s="1"/>
  <c r="J69" i="6"/>
  <c r="K69" i="6" s="1"/>
  <c r="J68" i="6"/>
  <c r="K68" i="6" s="1"/>
  <c r="J67" i="6"/>
  <c r="K67" i="6" s="1"/>
  <c r="J66" i="6"/>
  <c r="K66" i="6" s="1"/>
  <c r="J65" i="6"/>
  <c r="K65" i="6" s="1"/>
  <c r="J64" i="6"/>
  <c r="K64" i="6" s="1"/>
  <c r="J63" i="6"/>
  <c r="K63" i="6" s="1"/>
  <c r="J62" i="6"/>
  <c r="K62" i="6" s="1"/>
  <c r="J61" i="6"/>
  <c r="K61" i="6" s="1"/>
  <c r="J60" i="6"/>
  <c r="K60" i="6" s="1"/>
  <c r="J59" i="6"/>
  <c r="K59" i="6" s="1"/>
  <c r="J58" i="6"/>
  <c r="K58" i="6" s="1"/>
  <c r="J57" i="6"/>
  <c r="K57" i="6" s="1"/>
  <c r="J56" i="6"/>
  <c r="K56" i="6" s="1"/>
  <c r="J55" i="6"/>
  <c r="K55" i="6" s="1"/>
  <c r="J54" i="6"/>
  <c r="K54" i="6" s="1"/>
  <c r="J53" i="6"/>
  <c r="K53" i="6" s="1"/>
  <c r="J52" i="6"/>
  <c r="K52" i="6" s="1"/>
  <c r="J51" i="6"/>
  <c r="K51" i="6" s="1"/>
  <c r="J50" i="6"/>
  <c r="K50" i="6" s="1"/>
  <c r="J49" i="6"/>
  <c r="K49" i="6" s="1"/>
  <c r="J48" i="6"/>
  <c r="K48" i="6" s="1"/>
  <c r="J47" i="6"/>
  <c r="K47" i="6" s="1"/>
  <c r="J46" i="6"/>
  <c r="K46" i="6" s="1"/>
  <c r="J45" i="6"/>
  <c r="K45" i="6" s="1"/>
  <c r="J44" i="6"/>
  <c r="K44" i="6" s="1"/>
  <c r="J43" i="6"/>
  <c r="K43" i="6" s="1"/>
  <c r="J42" i="6"/>
  <c r="K42" i="6" s="1"/>
  <c r="J41" i="6"/>
  <c r="K41" i="6" s="1"/>
  <c r="J40" i="6"/>
  <c r="K40" i="6" s="1"/>
  <c r="J39" i="6"/>
  <c r="K39" i="6" s="1"/>
  <c r="J38" i="6"/>
  <c r="K38" i="6" s="1"/>
  <c r="J37" i="6"/>
  <c r="K37" i="6" s="1"/>
  <c r="J36" i="6"/>
  <c r="K36" i="6" s="1"/>
  <c r="J35" i="6"/>
  <c r="K35" i="6" s="1"/>
  <c r="J34" i="6"/>
  <c r="K34" i="6" s="1"/>
  <c r="J33" i="6"/>
  <c r="K33" i="6" s="1"/>
  <c r="J32" i="6"/>
  <c r="K32" i="6" s="1"/>
  <c r="J31" i="6"/>
  <c r="K31" i="6" s="1"/>
  <c r="J30" i="6"/>
  <c r="K30" i="6" s="1"/>
  <c r="J29" i="6"/>
  <c r="K29" i="6" s="1"/>
  <c r="J28" i="6"/>
  <c r="K28" i="6" s="1"/>
  <c r="J27" i="6"/>
  <c r="K27" i="6" s="1"/>
  <c r="J26" i="6"/>
  <c r="K26" i="6" s="1"/>
  <c r="J25" i="6"/>
  <c r="K25" i="6" s="1"/>
  <c r="J24" i="6"/>
  <c r="K24" i="6" s="1"/>
  <c r="J23" i="6"/>
  <c r="K23" i="6" s="1"/>
  <c r="J22" i="6"/>
  <c r="K22" i="6" s="1"/>
  <c r="J21" i="6"/>
  <c r="K21" i="6" s="1"/>
  <c r="J20" i="6"/>
  <c r="K20" i="6" s="1"/>
  <c r="J19" i="6"/>
  <c r="K19" i="6" s="1"/>
  <c r="J18" i="6"/>
  <c r="K18" i="6" s="1"/>
  <c r="J17" i="6"/>
  <c r="K17" i="6" s="1"/>
  <c r="J16" i="6"/>
  <c r="K16" i="6" s="1"/>
  <c r="J15" i="6"/>
  <c r="K15" i="6" s="1"/>
  <c r="J14" i="6"/>
  <c r="K14" i="6" s="1"/>
  <c r="J13" i="6"/>
  <c r="K13" i="6" s="1"/>
  <c r="J12" i="6"/>
  <c r="K12" i="6" s="1"/>
  <c r="J11" i="6"/>
  <c r="K11" i="6" s="1"/>
  <c r="J10" i="6"/>
  <c r="K10" i="6" s="1"/>
  <c r="J9" i="6"/>
  <c r="K9" i="6" s="1"/>
  <c r="J8" i="6"/>
  <c r="K8" i="6" s="1"/>
  <c r="J7" i="6"/>
  <c r="K7" i="6" s="1"/>
  <c r="J6" i="6"/>
  <c r="K6" i="6" s="1"/>
  <c r="J5" i="6"/>
  <c r="K5" i="6" s="1"/>
  <c r="J4" i="6"/>
  <c r="K4" i="6" s="1"/>
  <c r="J3" i="6"/>
  <c r="K3" i="6" s="1"/>
  <c r="J2" i="6"/>
  <c r="K2" i="6" s="1"/>
  <c r="J120" i="5"/>
  <c r="K120" i="5" s="1"/>
  <c r="J119" i="5"/>
  <c r="K119" i="5" s="1"/>
  <c r="J118" i="5"/>
  <c r="K118" i="5" s="1"/>
  <c r="J117" i="5"/>
  <c r="K117" i="5" s="1"/>
  <c r="J116" i="5"/>
  <c r="K116" i="5" s="1"/>
  <c r="J115" i="5"/>
  <c r="K115" i="5" s="1"/>
  <c r="J114" i="5"/>
  <c r="K114" i="5" s="1"/>
  <c r="J113" i="5"/>
  <c r="K113" i="5" s="1"/>
  <c r="J112" i="5"/>
  <c r="K112" i="5" s="1"/>
  <c r="J111" i="5"/>
  <c r="K111" i="5" s="1"/>
  <c r="J110" i="5"/>
  <c r="K110" i="5" s="1"/>
  <c r="J109" i="5"/>
  <c r="K109" i="5" s="1"/>
  <c r="J108" i="5"/>
  <c r="K108" i="5" s="1"/>
  <c r="J107" i="5"/>
  <c r="K107" i="5" s="1"/>
  <c r="J106" i="5"/>
  <c r="K106" i="5" s="1"/>
  <c r="J105" i="5"/>
  <c r="K105" i="5" s="1"/>
  <c r="J104" i="5"/>
  <c r="K104" i="5" s="1"/>
  <c r="J103" i="5"/>
  <c r="K103" i="5" s="1"/>
  <c r="J102" i="5"/>
  <c r="K102" i="5" s="1"/>
  <c r="J101" i="5"/>
  <c r="K101" i="5" s="1"/>
  <c r="J100" i="5"/>
  <c r="K100" i="5" s="1"/>
  <c r="J99" i="5"/>
  <c r="K99" i="5" s="1"/>
  <c r="J98" i="5"/>
  <c r="K98" i="5" s="1"/>
  <c r="J97" i="5"/>
  <c r="K97" i="5" s="1"/>
  <c r="J96" i="5"/>
  <c r="K96" i="5" s="1"/>
  <c r="J95" i="5"/>
  <c r="K95" i="5" s="1"/>
  <c r="J94" i="5"/>
  <c r="K94" i="5" s="1"/>
  <c r="J93" i="5"/>
  <c r="K93" i="5" s="1"/>
  <c r="J92" i="5"/>
  <c r="K92" i="5" s="1"/>
  <c r="J91" i="5"/>
  <c r="K91" i="5" s="1"/>
  <c r="J90" i="5"/>
  <c r="K90" i="5" s="1"/>
  <c r="J89" i="5"/>
  <c r="K89" i="5" s="1"/>
  <c r="J88" i="5"/>
  <c r="K88" i="5" s="1"/>
  <c r="J87" i="5"/>
  <c r="K87" i="5" s="1"/>
  <c r="J86" i="5"/>
  <c r="K86" i="5" s="1"/>
  <c r="J85" i="5"/>
  <c r="K85" i="5" s="1"/>
  <c r="J84" i="5"/>
  <c r="K84" i="5" s="1"/>
  <c r="J83" i="5"/>
  <c r="K83" i="5" s="1"/>
  <c r="J82" i="5"/>
  <c r="K82" i="5" s="1"/>
  <c r="J81" i="5"/>
  <c r="K81" i="5" s="1"/>
  <c r="J80" i="5"/>
  <c r="K80" i="5" s="1"/>
  <c r="J79" i="5"/>
  <c r="K79" i="5" s="1"/>
  <c r="J78" i="5"/>
  <c r="K78" i="5" s="1"/>
  <c r="J77" i="5"/>
  <c r="K77" i="5" s="1"/>
  <c r="J76" i="5"/>
  <c r="K76" i="5" s="1"/>
  <c r="J75" i="5"/>
  <c r="K75" i="5" s="1"/>
  <c r="J74" i="5"/>
  <c r="K74" i="5" s="1"/>
  <c r="J73" i="5"/>
  <c r="K73" i="5" s="1"/>
  <c r="J72" i="5"/>
  <c r="K72" i="5" s="1"/>
  <c r="J71" i="5"/>
  <c r="K71" i="5" s="1"/>
  <c r="J70" i="5"/>
  <c r="K70" i="5" s="1"/>
  <c r="J69" i="5"/>
  <c r="K69" i="5" s="1"/>
  <c r="J68" i="5"/>
  <c r="K68" i="5" s="1"/>
  <c r="J67" i="5"/>
  <c r="K67" i="5" s="1"/>
  <c r="J66" i="5"/>
  <c r="K66" i="5" s="1"/>
  <c r="J65" i="5"/>
  <c r="K65" i="5" s="1"/>
  <c r="J64" i="5"/>
  <c r="K64" i="5" s="1"/>
  <c r="J63" i="5"/>
  <c r="K63" i="5" s="1"/>
  <c r="J62" i="5"/>
  <c r="K62" i="5" s="1"/>
  <c r="J61" i="5"/>
  <c r="K61" i="5" s="1"/>
  <c r="J60" i="5"/>
  <c r="K60" i="5" s="1"/>
  <c r="J59" i="5"/>
  <c r="K59" i="5" s="1"/>
  <c r="J58" i="5"/>
  <c r="K58" i="5" s="1"/>
  <c r="J57" i="5"/>
  <c r="K57" i="5" s="1"/>
  <c r="J56" i="5"/>
  <c r="K56" i="5" s="1"/>
  <c r="J55" i="5"/>
  <c r="K55" i="5" s="1"/>
  <c r="J54" i="5"/>
  <c r="K54" i="5" s="1"/>
  <c r="J53" i="5"/>
  <c r="K53" i="5" s="1"/>
  <c r="J52" i="5"/>
  <c r="K52" i="5" s="1"/>
  <c r="J51" i="5"/>
  <c r="K51" i="5" s="1"/>
  <c r="J50" i="5"/>
  <c r="K50" i="5" s="1"/>
  <c r="J49" i="5"/>
  <c r="K49" i="5" s="1"/>
  <c r="J48" i="5"/>
  <c r="K48" i="5" s="1"/>
  <c r="J47" i="5"/>
  <c r="K47" i="5" s="1"/>
  <c r="J46" i="5"/>
  <c r="K46" i="5" s="1"/>
  <c r="J45" i="5"/>
  <c r="K45" i="5" s="1"/>
  <c r="J44" i="5"/>
  <c r="K44" i="5" s="1"/>
  <c r="J43" i="5"/>
  <c r="K43" i="5" s="1"/>
  <c r="J42" i="5"/>
  <c r="K42" i="5" s="1"/>
  <c r="J41" i="5"/>
  <c r="K41" i="5" s="1"/>
  <c r="J40" i="5"/>
  <c r="K40" i="5" s="1"/>
  <c r="J39" i="5"/>
  <c r="K39" i="5" s="1"/>
  <c r="J38" i="5"/>
  <c r="K38" i="5" s="1"/>
  <c r="J37" i="5"/>
  <c r="K37" i="5" s="1"/>
  <c r="J36" i="5"/>
  <c r="K36" i="5" s="1"/>
  <c r="J35" i="5"/>
  <c r="K35" i="5" s="1"/>
  <c r="J34" i="5"/>
  <c r="K34" i="5" s="1"/>
  <c r="J33" i="5"/>
  <c r="K33" i="5" s="1"/>
  <c r="J32" i="5"/>
  <c r="K32" i="5" s="1"/>
  <c r="J31" i="5"/>
  <c r="K31" i="5" s="1"/>
  <c r="J30" i="5"/>
  <c r="K30" i="5" s="1"/>
  <c r="J29" i="5"/>
  <c r="K29" i="5" s="1"/>
  <c r="J28" i="5"/>
  <c r="K28" i="5" s="1"/>
  <c r="J27" i="5"/>
  <c r="K27" i="5" s="1"/>
  <c r="J26" i="5"/>
  <c r="K26" i="5" s="1"/>
  <c r="J25" i="5"/>
  <c r="K25" i="5" s="1"/>
  <c r="J24" i="5"/>
  <c r="K24" i="5" s="1"/>
  <c r="J23" i="5"/>
  <c r="K23" i="5" s="1"/>
  <c r="J22" i="5"/>
  <c r="K22" i="5" s="1"/>
  <c r="J21" i="5"/>
  <c r="K21" i="5" s="1"/>
  <c r="J20" i="5"/>
  <c r="K20" i="5" s="1"/>
  <c r="J19" i="5"/>
  <c r="K19" i="5" s="1"/>
  <c r="J18" i="5"/>
  <c r="K18" i="5" s="1"/>
  <c r="J17" i="5"/>
  <c r="K17" i="5" s="1"/>
  <c r="J16" i="5"/>
  <c r="K16" i="5" s="1"/>
  <c r="J15" i="5"/>
  <c r="K15" i="5" s="1"/>
  <c r="J14" i="5"/>
  <c r="K14" i="5" s="1"/>
  <c r="J13" i="5"/>
  <c r="K13" i="5" s="1"/>
  <c r="J12" i="5"/>
  <c r="K12" i="5" s="1"/>
  <c r="J11" i="5"/>
  <c r="K11" i="5" s="1"/>
  <c r="J10" i="5"/>
  <c r="K10" i="5" s="1"/>
  <c r="J9" i="5"/>
  <c r="K9" i="5" s="1"/>
  <c r="J8" i="5"/>
  <c r="K8" i="5" s="1"/>
  <c r="J7" i="5"/>
  <c r="K7" i="5" s="1"/>
  <c r="J6" i="5"/>
  <c r="K6" i="5" s="1"/>
  <c r="J5" i="5"/>
  <c r="K5" i="5" s="1"/>
  <c r="J4" i="5"/>
  <c r="K4" i="5" s="1"/>
  <c r="J3" i="5"/>
  <c r="K3" i="5" s="1"/>
  <c r="J2" i="5"/>
  <c r="F7" i="1" s="1"/>
  <c r="J112" i="4"/>
  <c r="K112" i="4" s="1"/>
  <c r="J111" i="4"/>
  <c r="K111" i="4" s="1"/>
  <c r="J110" i="4"/>
  <c r="K110" i="4" s="1"/>
  <c r="J109" i="4"/>
  <c r="K109" i="4" s="1"/>
  <c r="J108" i="4"/>
  <c r="K108" i="4" s="1"/>
  <c r="J107" i="4"/>
  <c r="K107" i="4" s="1"/>
  <c r="J106" i="4"/>
  <c r="K106" i="4" s="1"/>
  <c r="J105" i="4"/>
  <c r="K105" i="4" s="1"/>
  <c r="J104" i="4"/>
  <c r="K104" i="4" s="1"/>
  <c r="J103" i="4"/>
  <c r="K103" i="4" s="1"/>
  <c r="J102" i="4"/>
  <c r="K102" i="4" s="1"/>
  <c r="J101" i="4"/>
  <c r="K101" i="4" s="1"/>
  <c r="J100" i="4"/>
  <c r="K100" i="4" s="1"/>
  <c r="J99" i="4"/>
  <c r="K99" i="4" s="1"/>
  <c r="J98" i="4"/>
  <c r="K98" i="4" s="1"/>
  <c r="J97" i="4"/>
  <c r="K97" i="4" s="1"/>
  <c r="J96" i="4"/>
  <c r="K96" i="4" s="1"/>
  <c r="J95" i="4"/>
  <c r="K95" i="4" s="1"/>
  <c r="J94" i="4"/>
  <c r="K94" i="4" s="1"/>
  <c r="J93" i="4"/>
  <c r="K93" i="4" s="1"/>
  <c r="J92" i="4"/>
  <c r="K92" i="4" s="1"/>
  <c r="J91" i="4"/>
  <c r="K91" i="4" s="1"/>
  <c r="J90" i="4"/>
  <c r="K90" i="4" s="1"/>
  <c r="J89" i="4"/>
  <c r="K89" i="4" s="1"/>
  <c r="J88" i="4"/>
  <c r="K88" i="4" s="1"/>
  <c r="J87" i="4"/>
  <c r="K87" i="4" s="1"/>
  <c r="J86" i="4"/>
  <c r="K86" i="4" s="1"/>
  <c r="J85" i="4"/>
  <c r="K85" i="4" s="1"/>
  <c r="J84" i="4"/>
  <c r="K84" i="4" s="1"/>
  <c r="J83" i="4"/>
  <c r="K83" i="4" s="1"/>
  <c r="J82" i="4"/>
  <c r="K82" i="4" s="1"/>
  <c r="J81" i="4"/>
  <c r="K81" i="4" s="1"/>
  <c r="J80" i="4"/>
  <c r="K80" i="4" s="1"/>
  <c r="J79" i="4"/>
  <c r="K79" i="4" s="1"/>
  <c r="J78" i="4"/>
  <c r="K78" i="4" s="1"/>
  <c r="J77" i="4"/>
  <c r="K77" i="4" s="1"/>
  <c r="J76" i="4"/>
  <c r="K76" i="4" s="1"/>
  <c r="J75" i="4"/>
  <c r="K75" i="4" s="1"/>
  <c r="J74" i="4"/>
  <c r="K74" i="4" s="1"/>
  <c r="J73" i="4"/>
  <c r="K73" i="4" s="1"/>
  <c r="J72" i="4"/>
  <c r="K72" i="4" s="1"/>
  <c r="J71" i="4"/>
  <c r="K71" i="4" s="1"/>
  <c r="J70" i="4"/>
  <c r="K70" i="4" s="1"/>
  <c r="J69" i="4"/>
  <c r="K69" i="4" s="1"/>
  <c r="J68" i="4"/>
  <c r="K68" i="4" s="1"/>
  <c r="J67" i="4"/>
  <c r="K67" i="4" s="1"/>
  <c r="J66" i="4"/>
  <c r="K66" i="4" s="1"/>
  <c r="J65" i="4"/>
  <c r="K65" i="4" s="1"/>
  <c r="J64" i="4"/>
  <c r="K64" i="4" s="1"/>
  <c r="J63" i="4"/>
  <c r="K63" i="4" s="1"/>
  <c r="J62" i="4"/>
  <c r="K62" i="4" s="1"/>
  <c r="J61" i="4"/>
  <c r="K61" i="4" s="1"/>
  <c r="J60" i="4"/>
  <c r="K60" i="4" s="1"/>
  <c r="J59" i="4"/>
  <c r="K59" i="4" s="1"/>
  <c r="J58" i="4"/>
  <c r="K58" i="4" s="1"/>
  <c r="J57" i="4"/>
  <c r="K57" i="4" s="1"/>
  <c r="J56" i="4"/>
  <c r="K56" i="4" s="1"/>
  <c r="J55" i="4"/>
  <c r="K55" i="4" s="1"/>
  <c r="J54" i="4"/>
  <c r="K54" i="4" s="1"/>
  <c r="J53" i="4"/>
  <c r="K53" i="4" s="1"/>
  <c r="J52" i="4"/>
  <c r="K52" i="4" s="1"/>
  <c r="J51" i="4"/>
  <c r="K51" i="4" s="1"/>
  <c r="J50" i="4"/>
  <c r="K50" i="4" s="1"/>
  <c r="J49" i="4"/>
  <c r="K49" i="4" s="1"/>
  <c r="J48" i="4"/>
  <c r="K48" i="4" s="1"/>
  <c r="J47" i="4"/>
  <c r="K47" i="4" s="1"/>
  <c r="J46" i="4"/>
  <c r="K46" i="4" s="1"/>
  <c r="J45" i="4"/>
  <c r="K45" i="4" s="1"/>
  <c r="J44" i="4"/>
  <c r="K44" i="4" s="1"/>
  <c r="J43" i="4"/>
  <c r="K43" i="4" s="1"/>
  <c r="J42" i="4"/>
  <c r="K42" i="4" s="1"/>
  <c r="J41" i="4"/>
  <c r="K41" i="4" s="1"/>
  <c r="J40" i="4"/>
  <c r="K40" i="4" s="1"/>
  <c r="J39" i="4"/>
  <c r="K39" i="4" s="1"/>
  <c r="J38" i="4"/>
  <c r="K38" i="4" s="1"/>
  <c r="J37" i="4"/>
  <c r="K37" i="4" s="1"/>
  <c r="J36" i="4"/>
  <c r="K36" i="4" s="1"/>
  <c r="J35" i="4"/>
  <c r="K35" i="4" s="1"/>
  <c r="J34" i="4"/>
  <c r="K34" i="4" s="1"/>
  <c r="J33" i="4"/>
  <c r="K33" i="4" s="1"/>
  <c r="J32" i="4"/>
  <c r="K32" i="4" s="1"/>
  <c r="J31" i="4"/>
  <c r="K31" i="4" s="1"/>
  <c r="J30" i="4"/>
  <c r="K30" i="4" s="1"/>
  <c r="J29" i="4"/>
  <c r="K29" i="4" s="1"/>
  <c r="J28" i="4"/>
  <c r="K28" i="4" s="1"/>
  <c r="J27" i="4"/>
  <c r="K27" i="4" s="1"/>
  <c r="J26" i="4"/>
  <c r="K26" i="4" s="1"/>
  <c r="J25" i="4"/>
  <c r="K25" i="4" s="1"/>
  <c r="J24" i="4"/>
  <c r="K24" i="4" s="1"/>
  <c r="J23" i="4"/>
  <c r="K23" i="4" s="1"/>
  <c r="J22" i="4"/>
  <c r="K22" i="4" s="1"/>
  <c r="J21" i="4"/>
  <c r="K21" i="4" s="1"/>
  <c r="J20" i="4"/>
  <c r="K20" i="4" s="1"/>
  <c r="J19" i="4"/>
  <c r="K19" i="4" s="1"/>
  <c r="J18" i="4"/>
  <c r="K18" i="4" s="1"/>
  <c r="J17" i="4"/>
  <c r="K17" i="4" s="1"/>
  <c r="J16" i="4"/>
  <c r="K16" i="4" s="1"/>
  <c r="J15" i="4"/>
  <c r="K15" i="4" s="1"/>
  <c r="J14" i="4"/>
  <c r="K14" i="4" s="1"/>
  <c r="J13" i="4"/>
  <c r="K13" i="4" s="1"/>
  <c r="J12" i="4"/>
  <c r="K12" i="4" s="1"/>
  <c r="J11" i="4"/>
  <c r="K11" i="4" s="1"/>
  <c r="J10" i="4"/>
  <c r="K10" i="4" s="1"/>
  <c r="J9" i="4"/>
  <c r="K9" i="4" s="1"/>
  <c r="J8" i="4"/>
  <c r="K8" i="4" s="1"/>
  <c r="J7" i="4"/>
  <c r="K7" i="4" s="1"/>
  <c r="J6" i="4"/>
  <c r="K6" i="4" s="1"/>
  <c r="J5" i="4"/>
  <c r="K5" i="4" s="1"/>
  <c r="J4" i="4"/>
  <c r="K4" i="4" s="1"/>
  <c r="J3" i="4"/>
  <c r="K3" i="4" s="1"/>
  <c r="J2" i="4"/>
  <c r="K2" i="4" s="1"/>
  <c r="J112" i="3"/>
  <c r="K112" i="3" s="1"/>
  <c r="J111" i="3"/>
  <c r="K111" i="3" s="1"/>
  <c r="J110" i="3"/>
  <c r="K110" i="3" s="1"/>
  <c r="J109" i="3"/>
  <c r="K109" i="3" s="1"/>
  <c r="J108" i="3"/>
  <c r="K108" i="3" s="1"/>
  <c r="J107" i="3"/>
  <c r="K107" i="3" s="1"/>
  <c r="J106" i="3"/>
  <c r="K106" i="3" s="1"/>
  <c r="J105" i="3"/>
  <c r="K105" i="3" s="1"/>
  <c r="J104" i="3"/>
  <c r="K104" i="3" s="1"/>
  <c r="J103" i="3"/>
  <c r="K103" i="3" s="1"/>
  <c r="J102" i="3"/>
  <c r="K102" i="3" s="1"/>
  <c r="J101" i="3"/>
  <c r="K101" i="3" s="1"/>
  <c r="J100" i="3"/>
  <c r="K100" i="3" s="1"/>
  <c r="J99" i="3"/>
  <c r="K99" i="3" s="1"/>
  <c r="J98" i="3"/>
  <c r="K98" i="3" s="1"/>
  <c r="J97" i="3"/>
  <c r="K97" i="3" s="1"/>
  <c r="J96" i="3"/>
  <c r="K96" i="3" s="1"/>
  <c r="J95" i="3"/>
  <c r="K95" i="3" s="1"/>
  <c r="J94" i="3"/>
  <c r="K94" i="3" s="1"/>
  <c r="J93" i="3"/>
  <c r="K93" i="3" s="1"/>
  <c r="J92" i="3"/>
  <c r="K92" i="3" s="1"/>
  <c r="J91" i="3"/>
  <c r="K91" i="3" s="1"/>
  <c r="J90" i="3"/>
  <c r="K90" i="3" s="1"/>
  <c r="J89" i="3"/>
  <c r="K89" i="3" s="1"/>
  <c r="J88" i="3"/>
  <c r="K88" i="3" s="1"/>
  <c r="J87" i="3"/>
  <c r="K87" i="3" s="1"/>
  <c r="J86" i="3"/>
  <c r="K86" i="3" s="1"/>
  <c r="J85" i="3"/>
  <c r="K85" i="3" s="1"/>
  <c r="J84" i="3"/>
  <c r="K84" i="3" s="1"/>
  <c r="J83" i="3"/>
  <c r="K83" i="3" s="1"/>
  <c r="J82" i="3"/>
  <c r="K82" i="3" s="1"/>
  <c r="J81" i="3"/>
  <c r="K81" i="3" s="1"/>
  <c r="J80" i="3"/>
  <c r="K80" i="3" s="1"/>
  <c r="J79" i="3"/>
  <c r="K79" i="3" s="1"/>
  <c r="J78" i="3"/>
  <c r="K78" i="3" s="1"/>
  <c r="J77" i="3"/>
  <c r="K77" i="3" s="1"/>
  <c r="J76" i="3"/>
  <c r="K76" i="3" s="1"/>
  <c r="J75" i="3"/>
  <c r="K75" i="3" s="1"/>
  <c r="J74" i="3"/>
  <c r="K74" i="3" s="1"/>
  <c r="J73" i="3"/>
  <c r="K73" i="3" s="1"/>
  <c r="J72" i="3"/>
  <c r="K72" i="3" s="1"/>
  <c r="J71" i="3"/>
  <c r="K71" i="3" s="1"/>
  <c r="J70" i="3"/>
  <c r="K70" i="3" s="1"/>
  <c r="J69" i="3"/>
  <c r="K69" i="3" s="1"/>
  <c r="J68" i="3"/>
  <c r="K68" i="3" s="1"/>
  <c r="J67" i="3"/>
  <c r="K67" i="3" s="1"/>
  <c r="J66" i="3"/>
  <c r="K66" i="3" s="1"/>
  <c r="J65" i="3"/>
  <c r="K65" i="3" s="1"/>
  <c r="J64" i="3"/>
  <c r="K64" i="3" s="1"/>
  <c r="J63" i="3"/>
  <c r="K63" i="3" s="1"/>
  <c r="J62" i="3"/>
  <c r="K62" i="3" s="1"/>
  <c r="J61" i="3"/>
  <c r="K61" i="3" s="1"/>
  <c r="J60" i="3"/>
  <c r="K60" i="3" s="1"/>
  <c r="J59" i="3"/>
  <c r="K59" i="3" s="1"/>
  <c r="J58" i="3"/>
  <c r="K58" i="3" s="1"/>
  <c r="J57" i="3"/>
  <c r="K57" i="3" s="1"/>
  <c r="J56" i="3"/>
  <c r="K56" i="3" s="1"/>
  <c r="J55" i="3"/>
  <c r="K55" i="3" s="1"/>
  <c r="J54" i="3"/>
  <c r="K54" i="3" s="1"/>
  <c r="J53" i="3"/>
  <c r="K53" i="3" s="1"/>
  <c r="J52" i="3"/>
  <c r="K52" i="3" s="1"/>
  <c r="J51" i="3"/>
  <c r="K51" i="3" s="1"/>
  <c r="J50" i="3"/>
  <c r="K50" i="3" s="1"/>
  <c r="J49" i="3"/>
  <c r="K49" i="3" s="1"/>
  <c r="J48" i="3"/>
  <c r="K48" i="3" s="1"/>
  <c r="J47" i="3"/>
  <c r="K47" i="3" s="1"/>
  <c r="J46" i="3"/>
  <c r="K46" i="3" s="1"/>
  <c r="J45" i="3"/>
  <c r="K45" i="3" s="1"/>
  <c r="J44" i="3"/>
  <c r="K44" i="3" s="1"/>
  <c r="J43" i="3"/>
  <c r="K43" i="3" s="1"/>
  <c r="J42" i="3"/>
  <c r="K42" i="3" s="1"/>
  <c r="J41" i="3"/>
  <c r="K41" i="3" s="1"/>
  <c r="J40" i="3"/>
  <c r="K40" i="3" s="1"/>
  <c r="J39" i="3"/>
  <c r="K39" i="3" s="1"/>
  <c r="J38" i="3"/>
  <c r="K38" i="3" s="1"/>
  <c r="J37" i="3"/>
  <c r="K37" i="3" s="1"/>
  <c r="J36" i="3"/>
  <c r="K36" i="3" s="1"/>
  <c r="J35" i="3"/>
  <c r="K35" i="3" s="1"/>
  <c r="J34" i="3"/>
  <c r="K34" i="3" s="1"/>
  <c r="J33" i="3"/>
  <c r="K33" i="3" s="1"/>
  <c r="J32" i="3"/>
  <c r="K32" i="3" s="1"/>
  <c r="J31" i="3"/>
  <c r="K31" i="3" s="1"/>
  <c r="J30" i="3"/>
  <c r="K30" i="3" s="1"/>
  <c r="J29" i="3"/>
  <c r="K29" i="3" s="1"/>
  <c r="J28" i="3"/>
  <c r="K28" i="3" s="1"/>
  <c r="J27" i="3"/>
  <c r="K27" i="3" s="1"/>
  <c r="J26" i="3"/>
  <c r="K26" i="3" s="1"/>
  <c r="J25" i="3"/>
  <c r="K25" i="3" s="1"/>
  <c r="J24" i="3"/>
  <c r="K24" i="3" s="1"/>
  <c r="J23" i="3"/>
  <c r="K23" i="3" s="1"/>
  <c r="J22" i="3"/>
  <c r="K22" i="3" s="1"/>
  <c r="J21" i="3"/>
  <c r="K21" i="3" s="1"/>
  <c r="J20" i="3"/>
  <c r="K20" i="3" s="1"/>
  <c r="J19" i="3"/>
  <c r="K19" i="3" s="1"/>
  <c r="J18" i="3"/>
  <c r="K18" i="3" s="1"/>
  <c r="J17" i="3"/>
  <c r="K17" i="3" s="1"/>
  <c r="J16" i="3"/>
  <c r="K16" i="3" s="1"/>
  <c r="J15" i="3"/>
  <c r="K15" i="3" s="1"/>
  <c r="J14" i="3"/>
  <c r="K14" i="3" s="1"/>
  <c r="J13" i="3"/>
  <c r="K13" i="3" s="1"/>
  <c r="J12" i="3"/>
  <c r="K12" i="3" s="1"/>
  <c r="J11" i="3"/>
  <c r="K11" i="3" s="1"/>
  <c r="J10" i="3"/>
  <c r="K10" i="3" s="1"/>
  <c r="J9" i="3"/>
  <c r="K9" i="3" s="1"/>
  <c r="J8" i="3"/>
  <c r="K8" i="3" s="1"/>
  <c r="J7" i="3"/>
  <c r="K7" i="3" s="1"/>
  <c r="J6" i="3"/>
  <c r="K6" i="3" s="1"/>
  <c r="J5" i="3"/>
  <c r="K5" i="3" s="1"/>
  <c r="J4" i="3"/>
  <c r="K4" i="3" s="1"/>
  <c r="J3" i="3"/>
  <c r="K3" i="3" s="1"/>
  <c r="J2" i="3"/>
  <c r="K2" i="3" s="1"/>
  <c r="J121" i="2"/>
  <c r="K121" i="2" s="1"/>
  <c r="J120" i="2"/>
  <c r="K120" i="2" s="1"/>
  <c r="J119" i="2"/>
  <c r="K119" i="2" s="1"/>
  <c r="J118" i="2"/>
  <c r="K118" i="2" s="1"/>
  <c r="J117" i="2"/>
  <c r="K117" i="2" s="1"/>
  <c r="J116" i="2"/>
  <c r="K116" i="2" s="1"/>
  <c r="J115" i="2"/>
  <c r="K115" i="2" s="1"/>
  <c r="J114" i="2"/>
  <c r="K114" i="2" s="1"/>
  <c r="J113" i="2"/>
  <c r="K113" i="2" s="1"/>
  <c r="J112" i="2"/>
  <c r="K112" i="2" s="1"/>
  <c r="J111" i="2"/>
  <c r="K111" i="2" s="1"/>
  <c r="J110" i="2"/>
  <c r="K110" i="2" s="1"/>
  <c r="J109" i="2"/>
  <c r="K109" i="2" s="1"/>
  <c r="J108" i="2"/>
  <c r="K108" i="2" s="1"/>
  <c r="J107" i="2"/>
  <c r="K107" i="2" s="1"/>
  <c r="J106" i="2"/>
  <c r="K106" i="2" s="1"/>
  <c r="J105" i="2"/>
  <c r="K105" i="2" s="1"/>
  <c r="J104" i="2"/>
  <c r="K104" i="2" s="1"/>
  <c r="J103" i="2"/>
  <c r="K103" i="2" s="1"/>
  <c r="J102" i="2"/>
  <c r="K102" i="2" s="1"/>
  <c r="J101" i="2"/>
  <c r="K101" i="2" s="1"/>
  <c r="J100" i="2"/>
  <c r="K100" i="2" s="1"/>
  <c r="J99" i="2"/>
  <c r="K99" i="2" s="1"/>
  <c r="J98" i="2"/>
  <c r="K98" i="2" s="1"/>
  <c r="J97" i="2"/>
  <c r="K97" i="2" s="1"/>
  <c r="J96" i="2"/>
  <c r="K96" i="2" s="1"/>
  <c r="J95" i="2"/>
  <c r="K95" i="2" s="1"/>
  <c r="J94" i="2"/>
  <c r="K94" i="2" s="1"/>
  <c r="J93" i="2"/>
  <c r="K93" i="2" s="1"/>
  <c r="J92" i="2"/>
  <c r="K92" i="2" s="1"/>
  <c r="J91" i="2"/>
  <c r="K91" i="2" s="1"/>
  <c r="J90" i="2"/>
  <c r="K90" i="2" s="1"/>
  <c r="J89" i="2"/>
  <c r="K89" i="2" s="1"/>
  <c r="J88" i="2"/>
  <c r="K88" i="2" s="1"/>
  <c r="J87" i="2"/>
  <c r="K87" i="2" s="1"/>
  <c r="J86" i="2"/>
  <c r="K86" i="2" s="1"/>
  <c r="J85" i="2"/>
  <c r="K85" i="2" s="1"/>
  <c r="J84" i="2"/>
  <c r="K84" i="2" s="1"/>
  <c r="J83" i="2"/>
  <c r="K83" i="2" s="1"/>
  <c r="J82" i="2"/>
  <c r="K82" i="2" s="1"/>
  <c r="J81" i="2"/>
  <c r="K81" i="2" s="1"/>
  <c r="J80" i="2"/>
  <c r="K80" i="2" s="1"/>
  <c r="J79" i="2"/>
  <c r="K79" i="2" s="1"/>
  <c r="J78" i="2"/>
  <c r="K78" i="2" s="1"/>
  <c r="J77" i="2"/>
  <c r="K77" i="2" s="1"/>
  <c r="J76" i="2"/>
  <c r="K76" i="2" s="1"/>
  <c r="J75" i="2"/>
  <c r="K75" i="2" s="1"/>
  <c r="J74" i="2"/>
  <c r="K74" i="2" s="1"/>
  <c r="J73" i="2"/>
  <c r="K73" i="2" s="1"/>
  <c r="J72" i="2"/>
  <c r="K72" i="2" s="1"/>
  <c r="J71" i="2"/>
  <c r="K71" i="2" s="1"/>
  <c r="J70" i="2"/>
  <c r="K70" i="2" s="1"/>
  <c r="J69" i="2"/>
  <c r="K69" i="2" s="1"/>
  <c r="J68" i="2"/>
  <c r="K68" i="2" s="1"/>
  <c r="J67" i="2"/>
  <c r="K67" i="2" s="1"/>
  <c r="J66" i="2"/>
  <c r="K66" i="2" s="1"/>
  <c r="J65" i="2"/>
  <c r="K65" i="2" s="1"/>
  <c r="J64" i="2"/>
  <c r="K64" i="2" s="1"/>
  <c r="J63" i="2"/>
  <c r="K63" i="2" s="1"/>
  <c r="J62" i="2"/>
  <c r="K62" i="2" s="1"/>
  <c r="J61" i="2"/>
  <c r="K61" i="2" s="1"/>
  <c r="J60" i="2"/>
  <c r="K60" i="2" s="1"/>
  <c r="J59" i="2"/>
  <c r="K59" i="2" s="1"/>
  <c r="J58" i="2"/>
  <c r="K58" i="2" s="1"/>
  <c r="J57" i="2"/>
  <c r="K57" i="2" s="1"/>
  <c r="J56" i="2"/>
  <c r="K56" i="2" s="1"/>
  <c r="J55" i="2"/>
  <c r="K55" i="2" s="1"/>
  <c r="J54" i="2"/>
  <c r="K54" i="2" s="1"/>
  <c r="J53" i="2"/>
  <c r="K53" i="2" s="1"/>
  <c r="J52" i="2"/>
  <c r="K52" i="2" s="1"/>
  <c r="J51" i="2"/>
  <c r="K51" i="2" s="1"/>
  <c r="J50" i="2"/>
  <c r="K50" i="2" s="1"/>
  <c r="J49" i="2"/>
  <c r="K49" i="2" s="1"/>
  <c r="J48" i="2"/>
  <c r="K48" i="2" s="1"/>
  <c r="J47" i="2"/>
  <c r="K47" i="2" s="1"/>
  <c r="J46" i="2"/>
  <c r="K46" i="2" s="1"/>
  <c r="J45" i="2"/>
  <c r="K45" i="2" s="1"/>
  <c r="J44" i="2"/>
  <c r="K44" i="2" s="1"/>
  <c r="J43" i="2"/>
  <c r="K43" i="2" s="1"/>
  <c r="J42" i="2"/>
  <c r="K42" i="2" s="1"/>
  <c r="J41" i="2"/>
  <c r="K41" i="2" s="1"/>
  <c r="J40" i="2"/>
  <c r="K40" i="2" s="1"/>
  <c r="J39" i="2"/>
  <c r="K39" i="2" s="1"/>
  <c r="J38" i="2"/>
  <c r="K38" i="2" s="1"/>
  <c r="J37" i="2"/>
  <c r="K37" i="2" s="1"/>
  <c r="J36" i="2"/>
  <c r="K36" i="2" s="1"/>
  <c r="J35" i="2"/>
  <c r="K35" i="2" s="1"/>
  <c r="J34" i="2"/>
  <c r="K34" i="2" s="1"/>
  <c r="J33" i="2"/>
  <c r="K33" i="2" s="1"/>
  <c r="J32" i="2"/>
  <c r="K32" i="2" s="1"/>
  <c r="J31" i="2"/>
  <c r="K31" i="2" s="1"/>
  <c r="J30" i="2"/>
  <c r="K30" i="2" s="1"/>
  <c r="J29" i="2"/>
  <c r="K29" i="2" s="1"/>
  <c r="J28" i="2"/>
  <c r="K28" i="2" s="1"/>
  <c r="J27" i="2"/>
  <c r="K27" i="2" s="1"/>
  <c r="J26" i="2"/>
  <c r="K26" i="2" s="1"/>
  <c r="J25" i="2"/>
  <c r="K25" i="2" s="1"/>
  <c r="J24" i="2"/>
  <c r="K24" i="2" s="1"/>
  <c r="J23" i="2"/>
  <c r="K23" i="2" s="1"/>
  <c r="J22" i="2"/>
  <c r="K22" i="2" s="1"/>
  <c r="J21" i="2"/>
  <c r="K21" i="2" s="1"/>
  <c r="J20" i="2"/>
  <c r="K20" i="2" s="1"/>
  <c r="J19" i="2"/>
  <c r="K19" i="2" s="1"/>
  <c r="J18" i="2"/>
  <c r="K18" i="2" s="1"/>
  <c r="J17" i="2"/>
  <c r="K17" i="2" s="1"/>
  <c r="J16" i="2"/>
  <c r="K16" i="2" s="1"/>
  <c r="J15" i="2"/>
  <c r="K15" i="2" s="1"/>
  <c r="J14" i="2"/>
  <c r="K14" i="2" s="1"/>
  <c r="J13" i="2"/>
  <c r="K13" i="2" s="1"/>
  <c r="J12" i="2"/>
  <c r="K12" i="2" s="1"/>
  <c r="J11" i="2"/>
  <c r="K11" i="2" s="1"/>
  <c r="J10" i="2"/>
  <c r="K10" i="2" s="1"/>
  <c r="J9" i="2"/>
  <c r="K9" i="2" s="1"/>
  <c r="J8" i="2"/>
  <c r="K8" i="2" s="1"/>
  <c r="J7" i="2"/>
  <c r="K7" i="2" s="1"/>
  <c r="J6" i="2"/>
  <c r="K6" i="2" s="1"/>
  <c r="J5" i="2"/>
  <c r="K5" i="2" s="1"/>
  <c r="J4" i="2"/>
  <c r="K4" i="2" s="1"/>
  <c r="J3" i="2"/>
  <c r="K3" i="2" s="1"/>
  <c r="J2" i="2"/>
  <c r="F4" i="1" s="1"/>
  <c r="C7" i="1"/>
  <c r="E7" i="1" s="1"/>
  <c r="D5" i="1" l="1"/>
  <c r="D6" i="1"/>
  <c r="D8" i="1"/>
  <c r="K2" i="5"/>
  <c r="D7" i="1" s="1"/>
  <c r="C8" i="1"/>
  <c r="E8" i="1" s="1"/>
  <c r="C5" i="1"/>
  <c r="E5" i="1" s="1"/>
  <c r="F5" i="1"/>
  <c r="C4" i="1"/>
  <c r="E4" i="1" s="1"/>
  <c r="C6" i="1"/>
  <c r="E6" i="1" s="1"/>
  <c r="F6" i="1"/>
  <c r="F8" i="1"/>
  <c r="K2" i="2"/>
  <c r="D4" i="1" s="1"/>
</calcChain>
</file>

<file path=xl/sharedStrings.xml><?xml version="1.0" encoding="utf-8"?>
<sst xmlns="http://schemas.openxmlformats.org/spreadsheetml/2006/main" count="1820" uniqueCount="683">
  <si>
    <t>TỔNG HỢP — pass-rate + Điểm TB (người chấm) · auto-metrics (máy)</t>
  </si>
  <si>
    <t>Version</t>
  </si>
  <si>
    <t>Số câu</t>
  </si>
  <si>
    <t>Đã chấm</t>
  </si>
  <si>
    <t>Số Đạt</t>
  </si>
  <si>
    <t>Pass-rate %</t>
  </si>
  <si>
    <t>Điểm TB /5</t>
  </si>
  <si>
    <t>Auto: tình huống %</t>
  </si>
  <si>
    <t>Auto: cấu trúc %</t>
  </si>
  <si>
    <t>Auto: không trùng %</t>
  </si>
  <si>
    <t>JSON %</t>
  </si>
  <si>
    <t>v1_baseline</t>
  </si>
  <si>
    <t>11.7</t>
  </si>
  <si>
    <t>100.0</t>
  </si>
  <si>
    <t>97.5</t>
  </si>
  <si>
    <t>v2_skill_extraction</t>
  </si>
  <si>
    <t>27.9</t>
  </si>
  <si>
    <t>99.1</t>
  </si>
  <si>
    <t>v3_fewshot</t>
  </si>
  <si>
    <t>43.2</t>
  </si>
  <si>
    <t>v4_situational</t>
  </si>
  <si>
    <t>50.4</t>
  </si>
  <si>
    <t>99.2</t>
  </si>
  <si>
    <t>v5_self_critique</t>
  </si>
  <si>
    <t>60.4</t>
  </si>
  <si>
    <t>GHI CHÚ:</t>
  </si>
  <si>
    <t>• Pass-rate, Số Đạt, Đã chấm, Điểm TB /5: TỰ TÍNH khi bạn gõ điểm vào sheet version.</t>
  </si>
  <si>
    <t>• Mỗi câu: gõ 0–5 vào 5 cột Correctness/Relevance/Distractor/Tình huống/Rõ ràng (ô VÀNG).</t>
  </si>
  <si>
    <t xml:space="preserve">  -&gt; Điểm TB từng câu tự ra; Đạt = 'Đạt' nếu Điểm TB ≥ 4.</t>
  </si>
  <si>
    <t>• CHẤM ĐỦ cả 5 version (mọi dòng vàng) — so sánh công bằng trên cùng 12 JD.</t>
  </si>
  <si>
    <t>• Cột 'Auto: ...' do code metrics.py tính, KHÔNG phải người chấm (tham khảo; cấu trúc/JSON kịch trần nên không phân biệt version).</t>
  </si>
  <si>
    <t>• Trục QUYẾT ĐỊNH cho luận văn = Pass-rate người chấm, đối chiếu xu hướng auto tình huống %.</t>
  </si>
  <si>
    <t>• cskh_junior ở v4/v5 có 2 câu nhãn skill lỗi (model qwen2.5 tuôn tiếng Trung) — nội dung câu vẫn tiếng Việt, cứ chấm bình thường.</t>
  </si>
  <si>
    <t>STT</t>
  </si>
  <si>
    <t>JD_id</t>
  </si>
  <si>
    <t>Skill</t>
  </si>
  <si>
    <t>Câu hỏi (đầy đủ)</t>
  </si>
  <si>
    <t>Correctness</t>
  </si>
  <si>
    <t>Relevance</t>
  </si>
  <si>
    <t>Distractor</t>
  </si>
  <si>
    <t>Tình huống</t>
  </si>
  <si>
    <t>Rõ ràng</t>
  </si>
  <si>
    <t>Điểm TB</t>
  </si>
  <si>
    <t>Đạt</t>
  </si>
  <si>
    <t>Ghi chú</t>
  </si>
  <si>
    <t>dev_dotnet_junior</t>
  </si>
  <si>
    <t>(1 phát – không tách skill)</t>
  </si>
  <si>
    <t>Ngôn ngữ lập trình chính được sử dụng trong vị trí này là gì?
A. Python
B. Java
C. C#  ✓
D. JavaScript</t>
  </si>
  <si>
    <t>Một yêu cầu kỹ thuật quan trọng để ứng tuyển vào vị trí này là gì?
A. Nắm vững SQL Server
B. Hiểu về HTTP/REST  ✓
C. Có kinh nghiệm với Vue.js
D. Biết Node.js</t>
  </si>
  <si>
    <t>Ứng viên cần nắm vững kiến thức nào trong C# để ứng tuyển?
A. LINQ  ✓
B. HTML
C. CSS
D. JavaScript</t>
  </si>
  <si>
    <t>Đối với vị trí này, ứng viên đã làm gì sẽ được ưu tiên?
A. Thực tập tại công ty khác
B. Làm đồ án hoặc thực tập có sản phẩm thực tế  ✓
C. Học lập trình tự do
D. Xây dựng website cá nhân</t>
  </si>
  <si>
    <t>Ứng viên cần viết unit test cho các hàm được giao, công cụ nào thường được sử dụng trong vị trí này?
A. Selenium
B. NUnit  ✓
C. React
D. Angular</t>
  </si>
  <si>
    <t>Một ứng viên có thể viết API RESTful cơ bản cho vị trí này, HTTP/REST là gì?
A. Một loại ngôn ngữ lập trình
B. Phương thức truyền dữ liệu qua mạng internet
C. Mô hình thiết kế web  ✓
D. Công cụ quản lý dự án</t>
  </si>
  <si>
    <t>Ứng viên cần sử dụng công cụ nào để quản lý mã nguồn?
A. Git  ✓
B. SVN
C. TFS
D. Bitbucket</t>
  </si>
  <si>
    <t>Một yêu cầu kỹ thuật quan trọng khác đối với vị trí này là gì?
A. Nắm vững JavaScript
B. Hiểu về Entity Framework Core  ✓
C. Có kinh nghiệm với Angular
D. Biết Node.js</t>
  </si>
  <si>
    <t>Ứng viên cần viết API RESTful cơ bản, trong đó HTTP/REST là gì?
A. Một loại ngôn ngữ lập trình
B. Phương thức truyền dữ liệu qua mạng internet  ✓
C. Mô hình thiết kế web
D. Công cụ quản lý dự án</t>
  </si>
  <si>
    <t>dev_dotnet_senior</t>
  </si>
  <si>
    <t>Ứng viên cần có bao nhiêu năm kinh nghiệm với C#/.NET để đáp ứng yêu cầu của vị trí?
A. 1 năm
B. 2 năm
C. 4+ năm
D. 6 năm  ✓</t>
  </si>
  <si>
    <t>Trong Entity Framework Core, phương pháp nào được sử dụng để tối ưu truy vấn và tránh N+1 query?
A. Include()  ✓
B. AsNoTracking()
C. Load()
D. ThenInclude()</t>
  </si>
  <si>
    <t>Pattern nào sau đây không phải là một trong những pattern mà ứng viên cần áp dụng khi thiết kế API?
A. CQRS
B. Repository
C. Singleton  ✓
D. Dependency Injection</t>
  </si>
  <si>
    <t>Ứng viên cần có hiểu biết sâu về khái niệm nào dưới đây để xử lý concurrency hiệu quả?
A. Synchronous programming
B. Thread safety
C. Asynchronous programming
D. Deadlocks  ✓</t>
  </si>
  <si>
    <t>Trong quản lý bộ nhớ, phương pháp nào sau đây không được đề cập trong JD?
A. Garbage collection
B. Memory leak detection
C. Heap allocation  ✓
D. Stack overflow prevention</t>
  </si>
  <si>
    <t>Ứng viên cần có kinh nghiệm với công nghệ nào để tối ưu truy vấn Entity Framework Core và SQL Server?
A. Redis
B. SQL Server indexing  ✓
C. Message queue
D. Caching</t>
  </si>
  <si>
    <t>Pattern nào sau đây không được đề cập trong JD khi thiết kế API?
A. CQRS
B. Repository
C. Dependency Injection
D. Observer pattern  ✓</t>
  </si>
  <si>
    <t>Ứng viên cần có hiểu biết về quản lý bộ nhớ nào để tối ưu hiệu năng hệ thống microservices?
A. Memory leak detection
B. Garbage collection tuning  ✓
C. Heap allocation optimization
D. Stack size adjustment</t>
  </si>
  <si>
    <t>Trong JD, ứng viên cần có kinh nghiệm với pattern nào để xử lý vấn đề concurrency?
A. CQRS
B. Repository
C. Dependency Injection
D. Thread safety  ✓</t>
  </si>
  <si>
    <t>Ứng viên cần có hiểu biết về transaction isolation level nào để đảm bảo tính nhất quán của hệ thống?
A. Read uncommitted
B. Read committed
C. Repeatable read  ✓
D. Serializable</t>
  </si>
  <si>
    <t>frontend_react_mid</t>
  </si>
  <si>
    <t>Component nào trong React không cần quản lý state?
A. Function Component
B. Class Component
C. Stateless Functional Component  ✓
D. Hook</t>
  </si>
  <si>
    <t>Redux và Context API đều được sử dụng để quản lý gì trong React?
A. State  ✓
B. Props
C. Events
D. CSS</t>
  </si>
  <si>
    <t>Một phương pháp tối ưu render trong React là gì?
A. setState()
B. useEffect()
C. useMemo()  ✓
D. useState()</t>
  </si>
  <si>
    <t>React Testing Library và Jest đều được sử dụng để làm gì?
A. Xử lý state
B. Tích hợp API
C. Viết test  ✓
D. Quản lý component</t>
  </si>
  <si>
    <t>Virtual DOM là gì trong React?
A. Một loại state
B. Một phương thức render
C. Một kỹ thuật tối ưu hóa  ✓
D. Một hook</t>
  </si>
  <si>
    <t>Hooks useState và useEffect đều được sử dụng để làm gì?
A. Xử lý state  ✓
B. Tích hợp API
C. Viết test
D. Quản lý component</t>
  </si>
  <si>
    <t>Responsive design trong web phát triển có nghĩa là gì?
A. Thiết kế cho một kích thước màn hình cụ thể
B. Thiết kế cho nhiều kích thước màn hình khác nhau  ✓
C. Chỉ thiết kế cho desktop
D. Không cần quan tâm đến kích thước màn hình</t>
  </si>
  <si>
    <t>Cross-browser là gì?
A. Kiểm tra tính năng của trình duyệt
B. Thiết kế cho nhiều trình duyệt khác nhau  ✓
C. Tích hợp API giữa các trình duyệt
D. Xử lý state giữa các trình duyệt</t>
  </si>
  <si>
    <t>Một phương pháp tối ưu hóa hiệu năng frontend không bao gồm?
A. Memoization
B. Lazy loading
C. Virtual DOM
D. CSS Grid  ✓</t>
  </si>
  <si>
    <t>CSS Flexbox và Grid đều được sử dụng để làm gì?
A. Xử lý state
B. Tích hợp API
C. Thiết kế layout  ✓
D. Viết test</t>
  </si>
  <si>
    <t>data_engineer_senior</t>
  </si>
  <si>
    <t>Trong mô tả công việc, ứng viên cần có bao nhiêu năm kinh nghiệm?
A. 1
B. 2
C. 3
D. 4+  ✓</t>
  </si>
  <si>
    <t>Ứng viên cần thành thạo ngôn ngữ lập trình nào để viết job xử lý batch và streaming?
A. Java
B. C++
C. Python  ✓
D. JavaScript</t>
  </si>
  <si>
    <t>Mô hình dữ liệu nào được đề cập trong mô tả công việc?
A. Entity-Relationship Diagram (ERD)
B. Star Schema  ✓
C. E-R Model
D. Relational Model</t>
  </si>
  <si>
    <t>Ứng viên cần có kinh nghiệm với công cụ orchestrator nào?
A. Kubernetes
B. Docker
C. Airflow  ✓
D. Jenkins</t>
  </si>
  <si>
    <t>Trong SQL nâng cao, ứng viên cần nắm vững các tính năng nào?
A. Window function
B. CTE
C. Joins
D. All of the above  ✓</t>
  </si>
  <si>
    <t>Ứng viên cần hiểu về kiến trúc phân tán và kỹ thuật gì liên quan?
A. Load balancing
B. Caching
C. Partitioning  ✓
D. Replication</t>
  </si>
  <si>
    <t>Kỹ thuật nào được đề cập để tối ưu truy vấn trên kho dữ liệu?
A. Indexing  ✓
B. Normalization
C. Denormalization
D. Sharding</t>
  </si>
  <si>
    <t>Ứng viên cần có kinh nghiệm với định dạng cột nào?
A. JSON
B. XML
C. Parquet  ✓
D. CSV</t>
  </si>
  <si>
    <t>Trong mô tả công việc, ứng viên cần thiết kế và vận hành gì?
A. Data pipeline (ETL/ELT)  ✓
B. Web application
C. Mobile application
D. Database schema</t>
  </si>
  <si>
    <t>Ứng viên có trách nhiệm quản lý chất lượng dữ liệu như thế nào?
A. Through data validation and cleaning processes  ✓
B. By implementing user interfaces
C. By developing marketing strategies
D. By creating financial reports</t>
  </si>
  <si>
    <t>ketoan_tonghop_mid</t>
  </si>
  <si>
    <t>Nguyên lý nào sau đây là nguyên lý cơ bản của kế toán kép?
A. Nguyên lý kế toán
B. Nguyên lý kế toán kép  ✓
C. Nguyên lý tài chính
D. Nguyên lý quản trị</t>
  </si>
  <si>
    <t>Ứng viên cần nắm vững về các tài khoản kế toán để thực hiện công việc, trong số các tài khoản sau đây, tài khoản nào không thuộc nhóm tài khoản doanh thu?
A. Tài khoản Doanh thu từ bán hàng
B. Tài khoản Chi phí bán hàng  ✓
C. Tài khoản Thu nhập khác
D. Tài khoản Doanh thu từ cung cấp dịch vụ</t>
  </si>
  <si>
    <t>Ứng viên cần thành thạo phần mềm kế toán để thực hiện công việc, trong số các phần mềm sau đây, phần mềm nào không thuộc nhóm phần mềm kế toán?
A. MISA
B. Fast
C. Excel  ✓
D. FPT Accounting</t>
  </si>
  <si>
    <t>Theo Thông tư 200, báo cáo tài chính bao gồm những thông tin gì?
A. Bảng cân đối kế toán và Bảng lưu chuyển tiền tệ
B. Bảng cân đối kế toán, Báo cáo kết quả hoạt động kinh doanh và Báo cáo lưu chuyển tiền tệ
C. Bảng cân đối kế toán, Báo cáo lưu chuyển tiền tệ và Báo cáo lưu chuyển ngoại tệ
D. Bảng cân đối kế toán, Báo cáo lưu chuyển tiền tệ, Báo cáo lưu chuyển ngoại tệ và Báo cáo tài chính khác  ✓</t>
  </si>
  <si>
    <t>Ứng viên cần hiểu quy định thuế hiện hành để thực hiện công việc, trong số các loại thuế sau đây, loại thuế nào không thuộc nhóm thuế doanh nghiệp?
A. Thuế thu nhập doanh nghiệp
B. Thuế giá trị gia tăng
C. Thuế tiêu thụ đặc biệt
D. Thuế môn bài  ✓</t>
  </si>
  <si>
    <t>Ứng viên cần hạch toán doanh thu - chi phí - giá vốn, trong số các phương pháp sau đây, phương pháp nào không thuộc nhóm phương pháp hạch toán?
A. Phương pháp ghi chép
B. Phương pháp phân bổ
C. Phương pháp kiểm kê  ✓
D. Phương pháp tính giá</t>
  </si>
  <si>
    <t>Ứng viên cần lập tờ khai thuế GTGT, trong số các thông tin sau đây, thông tin nào không thuộc nhóm thông tin cần thiết để lập tờ khai?
A. Thông tin về doanh thu
B. Thông tin về chi phí  ✓
C. Thông tin về giá trị gia tăng
D. Thông tin về đối tượng chịu thuế</t>
  </si>
  <si>
    <t>Ứng viên cần theo dõi công nợ phải thu/phải trả, trong số các phương pháp sau đây, phương pháp nào không thuộc nhóm phương pháp theo dõi?
A. Phương pháp đối chiếu
B. Phương pháp phân tích
C. Phương pháp kiểm kê  ✓
D. Phương pháp ghi chép</t>
  </si>
  <si>
    <t>Ứng viên cần quản lý sổ sách, trong số các loại sổ sau đây, loại sổ nào không thuộc nhóm sổ kế toán?
A. Sổ nhật ký
B. Sổ chi tiết
C. Sổ tài khoản
D. Sổ lưu trữ  ✓</t>
  </si>
  <si>
    <t>Ứng viên cần hiểu về nghiệp vụ hạch toán phát sinh, trong số các nghiệp vụ sau đây, nghiệp vụ nào không thuộc nhóm nghiệp vụ kế toán?
A. Nghiệp vụ mua hàng
B. Nghiệp vụ bán hàng
C. Nghiệp vụ thanh toán
D. Nghiệp vụ quản lý nhân sự  ✓</t>
  </si>
  <si>
    <t>sales_b2b_junior</t>
  </si>
  <si>
    <t>Mục tiêu chính của vị trí này là gì?
A. Tìm kiếm và phát triển khách hàng cá nhân
B. Xây dựng quan hệ với khách hàng doanh nghiệp  ✓
C. Chăm sóc khách hàng sau bán hàng
D. Quản lý dự án sản phẩm mới</t>
  </si>
  <si>
    <t>Ngoài việc giới thiệu giải pháp/sản phẩm, công việc này còn bao gồm gì?
A. Xây dựng quan hệ với khách hàng
B. Tư vấn nhu cầu của khách hàng
C. Đàm phán và chốt hợp đồng
D. Cả B và C  ✓</t>
  </si>
  <si>
    <t>CRM trong mô tả công việc có ý nghĩa gì?
A. Chăm sóc khách hàng sau bán
B. Quản lý quan hệ với khách hàng  ✓
C. Tư vấn nhu cầu của khách hàng
D. Đàm phán và chốt hợp đồng</t>
  </si>
  <si>
    <t>Ứng viên cần có kỹ năng nào để thành công trong vị trí này?
A. Kỹ năng giao tiếp và thuyết phục tốt
B. Hiểu quy trình bán hàng B2B
C. Biết xử lý từ chối
D. Cả A, B và C  ✓</t>
  </si>
  <si>
    <t>Ứng viên có kinh nghiệm bán hàng sẽ được ưu tiên như thế nào?
A. Không cần
B. Được đánh giá thấp hơn
C. Được đánh giá cao hơn  ✓
D. Không ảnh hưởng</t>
  </si>
  <si>
    <t>Trong quá trình làm việc, ứng viên sẽ quản lý gì?
A. Doanh số
B. Quan hệ với khách hàng
C. Pipeline bán hàng
D. Giải pháp/sản phẩm  ✓</t>
  </si>
  <si>
    <t>Ngoài việc chốt hợp đồng, công việc này còn bao gồm gì?
A. Xây dựng quan hệ với khách hàng
B. Tư vấn nhu cầu của khách hàng
C. Đàm phán và chốt hợp đồng
D. Cả A, B và C  ✓</t>
  </si>
  <si>
    <t>Ứng viên cần có hiểu biết về quy trình bán hàng nào?
A. B2B (tiếp cận - tư vấn - đàm phán - chốt)  ✓
B. B2C
C. B2G
D. C2B</t>
  </si>
  <si>
    <t>Ứng viên cần có khả năng xử lý tình huống nào?
A. Xử lý từ chối  ✓
B. Xây dựng quan hệ với khách hàng
C. Tư vấn nhu cầu của khách hàng
D. Đàm phán và chốt hợp đồng</t>
  </si>
  <si>
    <t>Ứng viên cần chịu được áp lực như thế nào?
A. Áp lực doanh số
B. Áp lực từ công việc
C. Áp lực quản lý
D. Cả A và B  ✓</t>
  </si>
  <si>
    <t>digital_marketing_mid</t>
  </si>
  <si>
    <t>Chiến dịch marketing đa kênh bao gồm các nền tảng nào theo mô tả công việc?
A. Facebook Ads  ✓
B. Google Ads
C. SEO
D. Email</t>
  </si>
  <si>
    <t>Một trong những chỉ số quan trọng mà ứng viên cần tối ưu là gì?
A. CTR (Click-Through Rate)
B. CPC (Cost Per Click)
C. CPA (Cost Per Acquisition)
D. ROAS (Return On Ad Spend)  ✓</t>
  </si>
  <si>
    <t>Ứng viên cần có bao nhiêu năm kinh nghiệm trong lĩnh vực digital marketing?
A. 1-2 năm
B. 2-3 năm  ✓
C. 3-4 năm
D. 4-5 năm</t>
  </si>
  <si>
    <t>Ngoài chạy quảng cáo, ứng viên còn cần làm gì khác trong công việc này?
A. Phân tích dữ liệu chiến dịch
B. Lập báo cáo hiệu quả
C. Phối hợp content và design
D. Tất cả các phương án trên  ✓</t>
  </si>
  <si>
    <t>Ứng viên cần nắm vững kiến thức về SEO on-page?
A. Có  ✓
B. Không
C. Tham khảo
D. Không chắc</t>
  </si>
  <si>
    <t>Ứng viên cần có kỹ năng tư duy dữ liệu như thế nào?
A. Kỹ năng phân tích  ✓
B. Kỹ năng lập trình
C. Kỹ năng thiết kế
D. Kỹ năng viết nội dung</t>
  </si>
  <si>
    <t>Ứng viên cần quản lý ngân sách quảng cáo như thế nào?
A. Tăng cường
B. Giảm bớt
C. Tối ưu hóa  ✓
D. Không quan tâm</t>
  </si>
  <si>
    <t>Phương án nào dưới đây không phải là công việc của ứng viên?
A. Triển khai chiến dịch marketing
B. Quản lý ngân sách quảng cáo
C. Thiết kế nội dung  ✓
D. Phân tích dữ liệu</t>
  </si>
  <si>
    <t>Ứng viên cần hiểu về phễu marketing để làm tốt công việc này?
A. Có  ✓
B. Không
C. Tham khảo
D. Không chắc</t>
  </si>
  <si>
    <t>Ứng viên cần biết đọc và tối ưu chỉ số chuyển đổi như thế nào?
A. Rất tốt  ✓
B. Trung bình
C. Kém
D. Không quan tâm</t>
  </si>
  <si>
    <t>hr_tuyendung_junior</t>
  </si>
  <si>
    <t>Một trong những nhiệm vụ chính của vị trí này là gì?
A. Lập trình ứng dụng
B. Đăng tin tuyển dụng và sàng lọc hồ sơ  ✓
C. Thiết kế giao diện người dùng
D. Quản lý dự án</t>
  </si>
  <si>
    <t>Ứng viên cần có kỹ năng nào để thực hiện công việc?
A. Kỹ năng lập trình
B. Kỹ năng giao tiếp tốt  ✓
C. Kỹ năng thiết kế đồ họa
D. Kỹ năng phân tích dữ liệu</t>
  </si>
  <si>
    <t>Ngoài việc sàng lọc hồ sơ, vị trí này còn cần làm gì?
A. Xây dựng website
B. Tham gia phỏng vấn ứng viên  ✓
C. Quản lý dự án IT
D. Tư vấn khách hàng</t>
  </si>
  <si>
    <t>Ứng viên cần hiểu rõ về quy trình tuyển dụng như thế nào?
A. Chỉ cần biết sơ lược
B. Hãy nắm bắt các bước chính từ sàng lọc đến offer  ✓
C. Phải là chuyên gia trong lĩnh vực này
D. Không cần thiết phải hiểu</t>
  </si>
  <si>
    <t>Ngoài việc tuyển dụng, vị trí này còn có trách nhiệm gì khác?
A. Hỗ trợ bán hàng
B. Chăm sóc ứng viên xuyên suốt quy trình  ✓
C. Thiết kế sản phẩm
D. Quản lý kho</t>
  </si>
  <si>
    <t>Ứng viên cần có kinh nghiệm trong lĩnh vực nào?
A. Kinh doanh
B. Tuyển dụng  ✓
C. Marketing
D. Nhân sự tổng hợp</t>
  </si>
  <si>
    <t>Việc liên hệ và chăm sóc ứng viên diễn ra trong giai đoạn nào?
A. Trước khi đăng tin tuyển dụng
B. Từ lúc sàng lọc đến sau offer  ✓
C. Chỉ trước phỏng vấn
D. Sau khi nhận offer</t>
  </si>
  <si>
    <t>Ngoài việc tuyển dụng, vị trí này còn có trách nhiệm gì khác?
A. Hỗ trợ kỹ thuật
B. Báo cáo các chỉ số tuyển dụng  ✓
C. Quản lý tài chính
D. Thiết kế nội dung</t>
  </si>
  <si>
    <t>Ứng viên cần cẩn thận trong công việc để đảm bảo gì?
A. Tăng doanh thu
B. Giữ thông tin ứng viên an toàn và chính xác  ✓
C. Nâng cao chất lượng sản phẩm
D. Tối ưu hóa quy trình sản xuất</t>
  </si>
  <si>
    <t>Việc hỗ trợ onboarding nhân viên mới là trách nhiệm của vị trí này?
A. Không
B. Có  ✓
C. Chỉ trong một số trường hợp
D. Được giao cho bộ phận khác</t>
  </si>
  <si>
    <t>cskh_junior</t>
  </si>
  <si>
    <t>Kỹ năng nào sau đây không phải là yêu cầu bắt buộc của vị trí này?
A. kỹ năng giao tiếp
B. biết xử lý tình huống khách hàng khó tính
C. thái độ tích cực
D. biết sử dụng phần mềm quản lý ticket  ✓</t>
  </si>
  <si>
    <t>Việc nào dưới đây không phải là trách nhiệm của nhân viên trong vị trí này?
A. giải đáp thắc mắc về sản phẩm/dịch vụ
B. hướng dẫn sử dụng sản phẩm/dịch vụ
C. phối hợp các bộ phận để giải quyết vấn đề
D. thiết kế giao diện website  ✓</t>
  </si>
  <si>
    <t>Phương án nào dưới đây không phải là lợi thế?
A. biết sử dụng phần mềm quản lý ticket
B. có kinh nghiệm trong lĩnh vực bán hàng trực tuyến  ✓
C. thái độ tích cực
D. kỹ năng giao tiếp</t>
  </si>
  <si>
    <t>Trong quá trình xử lý yêu cầu của khách hàng, nhân viên cần phải làm gì?
A. chỉ giải đáp thắc mắc mà không cần ghi nhận phản hồi
B. gửi thông tin cho bộ phận khác mà không cần phối hợp
C. đảm bảo trải nghiệm khách hàng tốt  ✓
D. tránh tiếp xúc trực tiếp với khách hàng</t>
  </si>
  <si>
    <t>Kỹ năng nào dưới đây là yêu cầu bắt buộc của vị trí này?
A. biết sử dụng phần mềm quản lý ticket
B. kỹ năng giao tiếp và lắng nghe  ✓
C. thái độ tích cực
D. kinh nghiệm trong lĩnh vực IT</t>
  </si>
  <si>
    <t>Việc nào dưới đây không phải là một phần của quy trình xử lý yêu cầu khách hàng?
A. ghi nhận phản hồi từ khách hàng
B. phối hợp với các bộ phận khác để giải quyết vấn đề
C. đảm bảo trải nghiệm khách hàng tốt
D. tư vấn về cách thiết kế sản phẩm mới  ✓</t>
  </si>
  <si>
    <t>Trong trường hợp khách hàng có yêu cầu khó khăn, nhân viên cần làm gì?
A. tránh tiếp xúc với khách hàng để tránh mâu thuẫn
B. giải quyết vấn đề một cách kiên nhẫn và chuyên nghiệp  ✓
C. từ chối giải quyết nếu quá phức tạp
D. gửi yêu cầu cho bộ phận khác mà không cần xử lý</t>
  </si>
  <si>
    <t>Việc nào dưới đây là lợi thế của ứng viên?
A. biết sử dụng phần mềm quản lý ticket  ✓
B. kỹ năng giao tiếp và lắng nghe
C. thái độ tích cực
D. kinh nghiệm trong lĩnh vực IT</t>
  </si>
  <si>
    <t>Trong quá trình xử lý yêu cầu, nhân viên cần đảm bảo điều gì?
A. trải nghiệm khách hàng tốt  ✓
B. tư vấn về cách thiết kế sản phẩm mới
C. phối hợp với các bộ phận khác để giải quyết vấn đề
D. giải quyết vấn đề một cách nhanh chóng mà không cần ghi nhận phản hồi</t>
  </si>
  <si>
    <t>Kỹ năng nào dưới đây là yêu cầu bắt buộc của vị trí này?
A. kỹ năng giao tiếp và lắng nghe  ✓
B. biết xử lý tình huống khách hàng khó tính
C. thái độ tích cực
D. kinh nghiệm trong lĩnh vực IT</t>
  </si>
  <si>
    <t>project_manager_senior</t>
  </si>
  <si>
    <t>Dự án quản lý của vị trí này bao gồm các giai đoạn nào?
A. Khởi tạo, thiết kế, triển khai, bàn giao
B. Khởi tạo, lập kế hoạch, thực hiện, kiểm tra, bàn giao  ✓
C. Khởi tạo, phân tích yêu cầu, thiết kế, triển khai, bàn giao
D. Khởi tạo, quản lý phạm vi, thời gian, chi phí, rủi ro, bàn giao</t>
  </si>
  <si>
    <t>Vị trí này yêu cầu ứng viên có bao nhiêu năm kinh nghiệm quản lý dự án?
A. &lt;5 năm
B. 5+ năm  ✓
C. 3-4 năm
D. 2 năm</t>
  </si>
  <si>
    <t>Dự án quản lý của vị trí này áp dụng phương pháp Agile/Scrum hay Waterfall?
A. Agile/Scrum  ✓
B. Waterfall
C. Cả hai đều áp dụng
D. Không áp dụng</t>
  </si>
  <si>
    <t>Dự án quản lý yêu cầu ứng viên hiểu về các ràng buộc dự án nào?
A. Scope, Time, Cost (SCOPE, TIME, COST)
B. Time, Cost, Risk
C. Scope, Cost, Quality
D. Scope, Time, Risk  ✓</t>
  </si>
  <si>
    <t>Ứng viên cần có kỹ năng gì để làm việc với stakeholder?
A. Lãnh đạo và giao tiếp  ✓
B. Kỹ thuật lập trình
C. Phân tích dữ liệu
D. Thiết kế UI/UX</t>
  </si>
  <si>
    <t>Dự án quản lý yêu cầu ứng viên có kỹ năng gì để điều phối nguồn lực?
A. Lãnh đạo và giao tiếp  ✓
B. Kỹ thuật lập trình
C. Phân tích dữ liệu
D. Thiết kế UI/UX</t>
  </si>
  <si>
    <t>Dự án quản lý yêu cầu ứng viên có hiểu biết về phương pháp nào?
A. Sprint, Backlog, Retrospective (Agile/Scrum)  ✓
B. Waterfall
C. PMP
D. Cả hai đều áp dụng</t>
  </si>
  <si>
    <t>Dự án quản lý yêu cầu ứng viên có chứng chỉ gì?
A. PMP/Scrum  ✓
B. Agile/Scrum
C. Waterfall
D. Không yêu cầu chứng chỉ</t>
  </si>
  <si>
    <t>Vị trí này yêu cầu ứng viên quản lý rủi ro và thay đổi như thế nào?
A. Quản lý rủi ro và thay đổi  ✓
B. Chỉ quản lý rủi ro
C. Chỉ quản lý thay đổi
D. Không cần quản lý</t>
  </si>
  <si>
    <t>Dự án quản lý yêu cầu ứng viên làm việc với stakeholder như thế nào?
A. Báo cáo tiến độ
B. Lãnh đạo và giao tiếp  ✓
C. Phân tích dữ liệu
D. Thiết kế UI/UX</t>
  </si>
  <si>
    <t>edge_jd_rac</t>
  </si>
  <si>
    <t>Nhân viên được tuyển dụng cần phải có tinh thần như thế nào?
A. Bất tài
B. Năng động, nhiệt huyết  ✓
C. Lười biếng
D. Thái độ tiêu cực</t>
  </si>
  <si>
    <t>Ứng viên nào sẽ được ưu tiên trong quá trình tuyển dụng?
A. Ứng viên mới vào nghề
B. Ứng viên có kinh nghiệm lâu dài  ✓
C. Ứng viên không có kinh nghiệm
D. Ứng viên làm việc ngắn hạn</t>
  </si>
  <si>
    <t>Nhân viên cần phải chịu được áp lực công việc như thế nào?
A. Không cần
B. Rất ít
C. Có  ✓
D. Hết sức không</t>
  </si>
  <si>
    <t>Môi trường làm việc của công ty như thế nào?
A. Nghiêm túc, cổ hủ
B. Trẻ trung, năng động  ✓
C. Boring
D. Thiếu thốn</t>
  </si>
  <si>
    <t>Lương cho vị trí này sẽ được xác định như thế nào?
A. Theo kinh nghiệm
B. Thỏa thuận
C. Theo thời gian làm việc  ✓
D. Theo số lượng công việc hoàn thành</t>
  </si>
  <si>
    <t>Ứng viên cần có khả năng làm việc như thế nào?
A. Độc lập, không nhóm
B. Nhóm, không độc lập
C. Cả nhóm và độc lập
D. Chỉ nhóm  ✓</t>
  </si>
  <si>
    <t>Ngoài tinh thần trách nhiệm cao, ứng viên còn cần có thái độ gì?
A. Tích cực
B. Tiêu cực  ✓
C. Bất định
D. Không quan trọng</t>
  </si>
  <si>
    <t>Ứng viên nào sẽ không được ưu tiên trong quá trình tuyển dụng?
A. Ứng viên có kinh nghiệm lâu dài
B. Ứng viên mới vào nghề  ✓
C. Ứng viên năng động, nhiệt huyết
D. Ứng viên ham học hỏi</t>
  </si>
  <si>
    <t>Nhân viên cần phải ham học hỏi như thế nào?
A. Không cần
B. Rất ít
C. Có  ✓
D. Hết sức không</t>
  </si>
  <si>
    <t>Ứng viên nào sẽ phù hợp với vị trí này?
A. Người lười biếng, ham chơi
B. Người năng động, nhiệt huyết  ✓
C. Người ít học hỏi, ngại áp lực
D. Người làm việc không nhóm</t>
  </si>
  <si>
    <t>edge_jd_thieu_kythuat</t>
  </si>
  <si>
    <t>Một trong những nhiệm vụ chính của vị trí này là gì?
A. Lập trình phần mềm
B. Sắp xếp lịch họp  ✓
C. Thiết kế đồ họa
D. Quản lý dự án</t>
  </si>
  <si>
    <t>Ứng viên cần có kỹ năng gì để quản lý văn bản giấy tờ?
A. Kỹ năng lái xe
B. Kỹ năng giao tiếp
C. Kỹ năng sử dụng máy tính văn phòng  ✓
D. Kỹ năng bán hàng</t>
  </si>
  <si>
    <t>Ứng viên cần có tinh thần như thế nào để phù hợp với vị trí này?
A. Tự lập
B. Hợp tác  ✓
C. Khám phá
D. Nghiên cứu</t>
  </si>
  <si>
    <t>Ứng viên cần biết sử dụng các công cụ nào để hỗ trợ công việc?
A. Công cụ thiết kế web
B. Công cụ quản lý dự án
C. Công cụ máy tính văn phòng cơ bản  ✓
D. Công cụ phân tích dữ liệu</t>
  </si>
  <si>
    <t>Ứng viên cần có kỹ năng nào để sắp xếp lịch họp?
A. Kỹ năng lái xe
B. Kỹ năng giao tiếp
C. Kỹ năng sử dụng máy tính văn phòng  ✓
D. Kỹ năng bán hàng</t>
  </si>
  <si>
    <t>Ứng viên cần có phẩm chất nào để quản lý văn bản giấy tờ?
A. Tự lập
B. Hợp tác
C. Trung thực  ✓
D. Khám phá</t>
  </si>
  <si>
    <t>Ứng viên cần có kỹ năng nào để hỗ trợ các phòng ban khi cần?
A. Kỹ năng lái xe
B. Kỹ năng giao tiếp
C. Kỹ năng sử dụng máy tính văn phòng  ✓
D. Kỹ năng bán hàng</t>
  </si>
  <si>
    <t>Ứng viên cần có tinh thần như thế nào để quản lý văn bản giấy tờ?
A. Tự lập
B. Hợp tác
C. Trung thực
D. Khám phá  ✓</t>
  </si>
  <si>
    <t>Ứng viên cần có phẩm chất nào để sắp xếp lịch họp?
A. Tự lập
B. Hợp tác
C. Trung thực  ✓
D. Khám phá</t>
  </si>
  <si>
    <t>Ứng viên cần có kỹ năng gì để hỗ trợ các phòng ban khi cần?
A. Kỹ năng lái xe
B. Kỹ năng giao tiếp
C. Kỹ năng sử dụng máy tính văn phòng  ✓
D. Kỹ năng bán hàng</t>
  </si>
  <si>
    <t>C# OOP</t>
  </si>
  <si>
    <t>Trong C#, lớp nào sau đây là lớp gốc nhất và từ đó tất cả các lớp khác kế thừa?
A. System.Object  ✓
B. System.Class
C. BaseClass
D. RootClass</t>
  </si>
  <si>
    <t>Trong lập trình hướng đối tượng, phương thức nào sau đây được sử dụng để khởi tạo trạng thái ban đầu của một đối tượng?
A. Initialize
B. Constructor  ✓
C. Setup
D. Start</t>
  </si>
  <si>
    <t>LINQ</t>
  </si>
  <si>
    <t>Trong LINQ, phương thức nào sau đây được sử dụng để lọc các phần tử trong một sequence dựa trên điều kiện?
A. Where  ✓
B. Select
C. OrderBy
D. GroupBy</t>
  </si>
  <si>
    <t>HTTP/REST</t>
  </si>
  <si>
    <t>Trong HTTP/REST, phương thức nào được sử dụng để tạo một tài nguyên mới?
A. GET
B. POST  ✓
C. PUT
D. DELETE</t>
  </si>
  <si>
    <t>SQL SELECT, JOIN</t>
  </si>
  <si>
    <t>Trong SQL, để lấy tất cả các cột từ bảng 'Customers' và 'Orders', bạn sẽ sử dụng câu lệnh nào?
A. 'SELECT * FROM Customers JOIN Orders'
B. 'SELECT * FROM Customers INNER JOIN Orders'  ✓
C. 'SELECT * FROM Customers AND Orders'
D. 'SELECT * FROM Customers LEFT JOIN Orders'</t>
  </si>
  <si>
    <t>Nếu bạn muốn lấy tất cả các khách hàng từ bảng 'Customers' và chỉ những đơn đặt hàng có cùng ID khách hàng, câu lệnh SQL nào sẽ phù hợp?
A. 'SELECT * FROM Customers JOIN Orders'
B. 'SELECT * FROM Customers INNER JOIN Orders ON Customers.CustomerID = Orders.CustomerID'  ✓
C. 'SELECT * FROM Customers LEFT JOIN Orders'
D. 'SELECT * FROM Customers RIGHT JOIN Orders'</t>
  </si>
  <si>
    <t>Entity Framework Core</t>
  </si>
  <si>
    <t>Trong Entity Framework Core, phương thức nào sau đây được sử dụng để thực hiện lệnh INSERT vào cơ sở dữ liệu?
A. SaveChanges()  ✓
B. Add()
C. Insert()
D. Create()</t>
  </si>
  <si>
    <t>API RESTful</t>
  </si>
  <si>
    <t>API RESTful tuân theo nguyên tắc nào sau đây?
A. API phải hỗ trợ cả GET, POST, PUT và DELETE
B. API chỉ nên sử dụng HTTP status code 200 OK
C. API không cần tuân theo bất kỳ nguyên tắc nào
D. API phải tuân thủ các nguyên tắc của kiến trúc REST như stateless, cacheable, client-server  ✓</t>
  </si>
  <si>
    <t>Git</t>
  </si>
  <si>
    <t>Trong Git, lệnh nào sau đây được sử dụng để ghi nhận các thay đổi trong repository?
A. git commit  ✓
B. git push
C. git pull
D. git clone</t>
  </si>
  <si>
    <t>Unit Testing</t>
  </si>
  <si>
    <t>Trong Unit Testing, phương pháp nào sau đây không phải là một trong những công cụ phổ biến để thực hiện các bài kiểm thử đơn vị cho mã .NET?
A. NUnit
B. MSTest
C. Junit  ✓
D. xUnit</t>
  </si>
  <si>
    <t>Thiết kế kiến trúc microservices</t>
  </si>
  <si>
    <t>Trong kiến trúc microservices, component nào dưới đây thường đóng vai trò là trung tâm điều phối giữa các dịch vụ nhỏ?
A. Database
B. API Gateway  ✓
C. Load Balancer
D. Service Discovery</t>
  </si>
  <si>
    <t>Khi thiết kế microservices, nguyên tắc nào dưới đây không phù hợp để đảm bảo tính linh hoạt và khả năng mở rộng?
A. Mỗi dịch vụ chỉ xử lý một chức năng cụ thể
B. Sử dụng cùng một cơ sở dữ liệu cho tất cả các dịch vụ  ✓
C. Tối ưu hóa việc tái sử dụng mã giữa các dịch vụ
D. Cung cấp giao diện API rõ ràng và độc lập</t>
  </si>
  <si>
    <t>.NET Framework</t>
  </si>
  <si>
    <t>.NET Framework sử dụng ngôn ngữ lập trình nào làm nền tảng chính để phát triển ứng dụng?
A. C++
B. Java
C. C#  ✓
D. Python</t>
  </si>
  <si>
    <t>Tối ưu truy vấn Entity Framework Core và SQL Server (index, execution plan, tránh N+1 query)</t>
  </si>
  <si>
    <t>Để tối ưu hóa truy vấn Entity Framework Core khi sử dụng SQL Server, bạn nên chọn phương án nào dưới đây?
A. Sử dụng Include để tải tất cả các thực thể con
B. Tạo chỉ mục trên cột thường được dùng trong điều kiện WHERE
C. Không bao giờ sử dụng Include vì nó gây ra N+1 query  ✓
D. Đặt câu truy vấn SQL phức tạp vào RawSQL</t>
  </si>
  <si>
    <t>Trong Entity Framework Core, cách nào sau đây giúp tránh N+1 query hiệu quả?
A. Sử dụng Include để tải tất cả các thực thể con  ✓
B. Tạo chỉ mục trên cột thường được dùng trong điều kiện WHERE
C. Sử dụng AsNoTracking() khi lấy dữ liệu không cần thay đổi
D. Đặt câu truy vấn SQL phức tạp vào RawSQL</t>
  </si>
  <si>
    <t>Khi xem Execution Plan của một truy vấn Entity Framework Core, bạn phát hiện thấy có nhiều scans table. Điều này cho thấy gì?
A. Truy vấn đã được tối ưu hóa tốt
B. Có thể thiếu chỉ mục hoặc cấu trúc dữ liệu không phù hợp  ✓
C. Execution Plan là chính xác và không cần cải thiện
D. Entity Framework Core đang tự động tối ưu truy vấn</t>
  </si>
  <si>
    <t>API Design and Review</t>
  </si>
  <si>
    <t>Khi thiết kế API cho ứng dụng .NET, bạn nên ưu tiên sử dụng kiểu dữ liệu nào để đảm bảo tính tương thích và dễ dàng sử dụng?
A. Nullable types
B. Primitive types
C. Complex types with nested objects
D. Generic types  ✓</t>
  </si>
  <si>
    <t>Trong quá trình review API, bạn phát hiện một phương thức có thể bị tấn công bằng cách gửi dữ liệu không hợp lệ. Phương pháp nào sau đây là tốt nhất để ngăn chặn vấn đề này?
A. Thêm validation trong code
B. Sử dụng try-catch block
C. Tăng cường bảo mật ở lớpPresentation
D. Áp dụng input validation tại điểm tiếp cận API  ✓</t>
  </si>
  <si>
    <t>Pattern CQRS, Repository, Dependency Injection</t>
  </si>
  <si>
    <t>Trong kiến trúc CQRS (Command Query Responsibility Segregation), Repository và Dependency Injection có vai trò như thế nào?
A. Repository chịu trách nhiệm quản lý giao tiếp với cơ sở dữ liệu, trong khi Dependency Injection giúp quản lý các phụ thuộc giữa các component.  ✓
B. Dependency Injection chỉ định cách thức thực thi của các phương thức trong Repository.
C. Cả hai đều không liên quan đến CQRS và hoạt động độc lập.
D. Repository là một phần của Dependency Injection.</t>
  </si>
  <si>
    <t>Xử lý vấn đề concurrency</t>
  </si>
  <si>
    <t>Trong lập trình .NET, để đảm bảo tính nhất quán của dữ liệu trong một ứng dụng đa luồng, bạn nên sử dụng phương thức nào sau đây?
A. Parallel.Invoke
B. Task.Run
C. Interlocked.Increment  ✓
D. BackgroundWorker</t>
  </si>
  <si>
    <t>Tối ưu render React</t>
  </si>
  <si>
    <t>Khi tối ưu hóa render React, phương pháp nào sau đây không giúp cải thiện hiệu suất?
A. Sử dụng memoization với React.memo
B. Tối ưu props truyền vào component con
C. Sắp xếp state và props theo thứ tự tăng dần  ✓
D. Sử dụng shouldComponentUpdate trong class components</t>
  </si>
  <si>
    <t>Để tối ưu hóa render React, bạn nên sử dụng hook nào để tránh tính toán không cần thiết?
A. useState
B. useEffect
C. useCallback  ✓
D. useContext</t>
  </si>
  <si>
    <t>Viết test bằng Jest/React Testing Library</t>
  </si>
  <si>
    <t>Khi sử dụng Jest và React Testing Library để viết test cho một component React đơn giản với state, bạn nên sử dụng phương thức nào sau đây để render component?
A. render(&lt;Component /&gt;)  ✓
B. mount(&lt;Component /&gt;)
C. shallow(&lt;Component /&gt;)
D. test(&lt;Component /&gt;)</t>
  </si>
  <si>
    <t>Xây dựng component tái sử dụng</t>
  </si>
  <si>
    <t>Khi xây dựng component tái sử dụng trong React, bạn nên sử dụng tính năng nào để truyền dữ liệu từ cha đến con?
A. PropTypes
B. State
C. Props
D. Context  ✓</t>
  </si>
  <si>
    <t>Quản lý state bằng Redux hoặc Context API</t>
  </si>
  <si>
    <t>Khi sử dụng Redux trong React, phương thức nào sau đây được sử dụng để dispatch một action?
A. store.dispatch()  ✓
B. this.props.dispatch()
C. connect()
D. useState()</t>
  </si>
  <si>
    <t>Trong Context API của React, phương thức nào được sử dụng để cung cấp giá trị cho Provider?
A. useContext()
B. useReducer()
C. createContext()
D. useState()  ✓</t>
  </si>
  <si>
    <t>Tích hợp REST API</t>
  </si>
  <si>
    <t>Khi tích hợp REST API vào ứng dụng React, phương thức nào sau đây thường được sử dụng để gửi yêu cầu GET đến server?
A. fetch()  ✓
B. axios.get()
C. $.ajax()
D. react.request()</t>
  </si>
  <si>
    <t>Hiểu virtual DOM</t>
  </si>
  <si>
    <t>Virtual DOM trong React là gì?
A. Một phiên bản thực tế của DOM để tăng hiệu suất giao diện người dùng
B. Một công cụ để tối ưu hóa việc tải trang web  ✓
C. Một thư viện JavaScript độc lập với React để tạo giao diện người dùng
D. Một cơ chế quản lý state trong ứng dụng React</t>
  </si>
  <si>
    <t>Biết tối ưu hiệu năng frontend</t>
  </si>
  <si>
    <t>Khi tối ưu hóa hiệu năng frontend, phương pháp nào sau đây không phù hợp?
A. Sử dụng lazy loading cho các component không cần thiết
B. Tối ưu hóa CSS và JavaScript bằng cách minify mã nguồn
C. Sử dụng CDN để tải nhanh tài nguyên từ xa
D. Bỏ qua việc sử dụng cache vì nó không ảnh hưởng đến hiệu năng  ✓</t>
  </si>
  <si>
    <t>Để tối ưu hóa hiệu suất rendering của React, bạn nên làm gì với các component thường xuyên thay đổi?
A. Đặt chúng vào &lt;React.Fragment&gt; để tránh tạo ra thêm DOM nodes
B. Sử dụng shouldComponentUpdate() hoặc React.memo() để kiểm soát khi nào component được re-render  ✓
C. Tăng số lần render mỗi giây để đảm bảo cập nhật liên tục
D. Loại bỏ tất cả state và props không cần thiết</t>
  </si>
  <si>
    <t>SQL nâng cao</t>
  </si>
  <si>
    <t>Trong SQL, cú pháp nào được sử dụng để thực hiện việc trích xuất dữ liệu từ một bảng dựa trên điều kiện cụ thể?
A. SELECT  ✓
B. INSERT
C. UPDATE
D. DELETE</t>
  </si>
  <si>
    <t>Khi sử dụng JOIN trong SQL, loại JOIN nào được sử dụng để trả về tất cả các hàng từ cả hai bảng, ngay cả khi không có khớp?
A. INNER JOIN
B. LEFT JOIN
C. RIGHT JOIN
D. FULL OUTER JOIN  ✓</t>
  </si>
  <si>
    <t>Trong SQL, phương thức nào được sử dụng để sắp xếp kết quả theo một cột?
A. ORDER BY  ✓
B. GROUP BY
C. HAVING
D. LIMIT</t>
  </si>
  <si>
    <t>Window function trong SQL</t>
  </si>
  <si>
    <t>Window function trong SQL được sử dụng để làm gì?
A. Để thực hiện các thao tác trên tập dữ liệu không liên quan
B. Để thực hiện các thao tác trên tập dữ liệu có liên quan, tạo ra khung dữ liệu (window) và áp dụng hàm lên đó  ✓
C. Để sắp xếp dữ liệu theo thứ tự nhất định
D. Để cập nhật dữ liệu trong bảng</t>
  </si>
  <si>
    <t>Trong câu lệnh SQL, phương thức nào sau đây không phải là một window function?
A. ROW_NUMBER()
B. SUM()  ✓
C. RANK()
D. LEAD()</t>
  </si>
  <si>
    <t>CTE (Common Table Expressions) trong SQL</t>
  </si>
  <si>
    <t>Trong SQL, CTE (Common Table Expressions) giúp gì?
A. CTE cho phép truy vấn dữ liệu từ nhiều bảng khác nhau mà không cần sử dụng JOIN.
B. CTE giúp tối ưu hóa hiệu suất của các câu truy vấn phức tạp bằng cách lưu kết quả trung gian vào một bảng tạm thời.
C. CTE cho phép tái sử dụng cùng một tập kết quả trong một truy vấn SQL nhiều lần mà không cần viết lại mã.  ✓
D. CTE được sử dụng để tạo ra các ràng buộc khóa ngoại giữa các bảng.</t>
  </si>
  <si>
    <t>Python</t>
  </si>
  <si>
    <t>Trong Python, hàm nào được sử dụng để đọc dữ liệu từ một file CSV?
A. read_csv()  ✓
B. load_csv()
C. csv_read()
D. read_file()</t>
  </si>
  <si>
    <t>Trong Python, cú pháp nào được sử dụng để tạo một dictionary từ hai list?
A. dict(list1, list2)
B. dict(zip(list1, list2))  ✓
C. combine(list1, list2)
D. merge(list1, list2)</t>
  </si>
  <si>
    <t>Trong Python, phương thức nào được sử dụng để in ra thông tin về một object?
A. print()  ✓
B. info()
C. describe()
D. inspect()</t>
  </si>
  <si>
    <t>Spark</t>
  </si>
  <si>
    <t>Trong Apache Spark, hàm nào sau đây được sử dụng để tạo một DataFrame từ dữ liệu?
A. spark.createDataFrame()  ✓
B. spark.newDataFrame()
C. spark.loadDataFrame()
D. spark.readDataFrame()</t>
  </si>
  <si>
    <t>Nắm vững nguyên lý kế toán kép</t>
  </si>
  <si>
    <t>Trong nguyên lý kế toán kép, giao dịch mua hàng với giá trị VAT bao gồm cả tiền mặt và tín dụng được thể hiện như thế nào?
A. Tài khoản Hàng tồn kho tăng, Tài khoản Chi phí bán hàng giảm
B. Tài khoản Hàng tồn kho tăng, Tài khoản Nợ khác tăng, Tài khoản Tiền mặt giảm
C. Tài khoản Hàng tồn kho tăng, Tài khoản Nợ khác tăng, Tài khoản Tiền mặt và Tài khoản Thuế GTGT vào tăng  ✓
D. Tài khoản Hàng tồn kho tăng, Tài khoản Chi phí bán hàng tăng</t>
  </si>
  <si>
    <t>Khi một công ty bán hàng với giá trị VAT bao gồm cả tiền mặt và tín dụng, giao dịch này sẽ được thể hiện như thế nào?
A. Tài khoản Doanh thu tăng, Tài khoản Nợ khác giảm
B. Tài khoản Doanh thu tăng, Tài khoản Tiền mặt tăng, Tài khoản Thuế GTGT vào giảm
C. Tài khoản Doanh thu tăng, Tài khoản Tiền mặt và Tài khoản Thuế GTGT vào tăng, Tài khoản Nợ khác giảm
D. Tài khoản Doanh thu tăng, Tài khoản Chi phí bán hàng giảm  ✓</t>
  </si>
  <si>
    <t>Hiểu các tài khoản kế toán</t>
  </si>
  <si>
    <t>Trong hệ thống tài khoản kế toán, tài khoản nào sau đây thường được sử dụng để ghi nhận chi phí mua sắm và bảo dưỡng thiết bị?
A. Tài khoản 111 - Chi phí bán hàng
B. Tài khoản 222 - Chi phí quản lý doanh nghiệp
C. Tài khoản 403 - Mua sắm, sửa chữa và bảo dưỡng tài sản cố định  ✓
D. Tài khoản 501 - Thu nhập khác</t>
  </si>
  <si>
    <t>Hạch toán doanh thu - chi phí - giá vốn</t>
  </si>
  <si>
    <t>Trong hạch toán doanh thu, khi một công ty bán hàng với giá 5.000.000 đồng và chi phí bán hàng là 1.200.000 đồng, doanh thu ghi nhận trong báo cáo tài chính sẽ là bao nhiêu?
A. 800.000 đồng  ✓
B. 000.000 đồng
C. 200.000 đồng
D. 200.000 đồng</t>
  </si>
  <si>
    <t>Khi một doanh nghiệp mua hàng với giá vốn là 3.500.000 đồng và bán lại với giá 4.200.000 đồng, chi phí ghi nhận trong báo cáo tài chính sẽ là bao nhiêu?
A. 500.000 đồng  ✓
B. 200.000 đồng
C. 700.000 đồng
D. 870.000 đồng</t>
  </si>
  <si>
    <t>Trong quá trình hạch toán, nếu một công ty nhận được tiền trước khi bán hàng và ghi vào tài khoản tiền mặt, số tiền này sẽ được ghi vào phần nào của báo cáo tài chính?
A. Doanh thu
B. Chi phí
C. Giá vốn hàng bán
D. Tiền mặt  ✓</t>
  </si>
  <si>
    <t>Thành thạo Excel</t>
  </si>
  <si>
    <t>Trong Excel, công thức nào sau đây tính tổng số lượng hàng bán trong cột D từ dòng 2 đến dòng 10?
A. =SUM(D2:D10)  ✓
B. =AVERAGE(D2:D10)
C. =COUNT(D2:D10)
D. =MIN(D2:D10)</t>
  </si>
  <si>
    <t>Để tạo một biểu đồ cột từ dữ liệu trong Excel, bạn cần thực hiện các bước nào sau đây?
A. Chọn dữ liệu -&gt; Chèn -&gt; Biểu đồ  ✓
B. Chọn dữ liệu -&gt; Thêm -&gt; Biểu đồ
C. Chọn dữ liệu -&gt; Trang tổng hợp -&gt; Biểu đồ
D. Chọn dữ liệu -&gt; Công cụ -&gt; Biểu đồ</t>
  </si>
  <si>
    <t>Kiểm soát chứng từ, quản lý sổ sách</t>
  </si>
  <si>
    <t>Trong quy trình kiểm soát chứng từ và quản lý sổ sách của kế toán tổng hợp, bước nào sau đây không phải là một phần quan trọng?
A. Xác minh tính chính xác của thông tin trên chứng từ
B. Lập báo cáo tài chính định kỳ
C. Sắp xếp và lưu trữ chứng từ theo quy định
D. Tạo ra các hóa đơn bán hàng  ✓</t>
  </si>
  <si>
    <t>Lập báo cáo tài chính theo Thông tư 200</t>
  </si>
  <si>
    <t>Theo Thông tư 200, báo cáo tài chính bao gồm các phần nào?
A. Bảng cân đối kế toán, Báo cáo lưu chuyển tiền tệ và Báo cáo kết quả hoạt động kinh doanh
B. Bảng cân đối kế toán, Báo cáo lưu chuyển tiền tệ, Báo cáo kết quả hoạt động kinh doanh và Báo cáo lưu chuyển tiền mặt
C. Bảng cân đối kế toán, Báo cáo lưu chuyển tiền tệ, Báo cáo kết quả hoạt động kinh doanh, Báo cáo lưu chuyển tiền mặt và Báo cáo biến động vốn chủ sở hữu
D. Bảng cân đối kế toán, Báo cáo lưu chuyển tiền tệ, Báo cáo kết quả hoạt động kinh doanh, Báo cáo lưu chuyển tiền mặt, Báo cáo biến động vốn chủ sở hữu và Báo cáo quản trị  ✓</t>
  </si>
  <si>
    <t>Kỹ năng giao tiếp và thuyết phục</t>
  </si>
  <si>
    <t>Khi gặp khách hàng B2B, bạn cần sử dụng kỹ năng giao tiếp nào để hiểu rõ nhu cầu của họ?
A. Gợi ý sản phẩm ngay lập tức
B. Nghe và hỏi nhiều câu hỏi mở  ✓
C. Sử dụng ngôn ngữ chuyên môn cao
D. Tránh đưa ra bất kỳ phản hồi nào</t>
  </si>
  <si>
    <t>Trong quá trình thuyết phục khách hàng, phương pháp nào sau đây là hiệu quả nhất?
A. Đưa ra nhiều ưu điểm của sản phẩm mà không cần chứng minh
B. Sử dụng ngôn ngữ phức tạp để thể hiện chuyên môn
C. Chia sẻ kinh nghiệm thành công của khách hàng khác  ✓
D. Hứa hẹn giảm giá ngay lập tức</t>
  </si>
  <si>
    <t>Khi gặp phải phản đối từ khách hàng, bạn nên làm gì để tiếp tục quá trình giao dịch?
A. Tranh cãi với họ về lý do của sự phản đối
B. Ngắt lời và chuyển sang đề xuất khác
C. Xem xét lại vấn đề và tìm cách giải quyết
D. Bỏ qua phản đối và tiếp tục thuyết phục  ✓</t>
  </si>
  <si>
    <t>Kỹ năng nào sau đây không thuộc về kỹ năng giao tiếp và thuyết phục?
A. Nghe có ý thức
B. Biết cách lắng nghe
C. Kiểm soát cảm xúc của mình
D. Sử dụng ngôn ngữ cơ thể để nhấn mạnh  ✓</t>
  </si>
  <si>
    <t>Hiểu quy trình bán hàng B2B (tiếp cận - tư vấn - đàm phán - chốt)</t>
  </si>
  <si>
    <t>Trong quy trình bán hàng B2B, bước nào diễn ra sau khi đã tiếp cận khách hàng?
A. Đàm phán
B. Tư vấn sản phẩm  ✓
C. Chốt đơn hàng
D. Giao hàng</t>
  </si>
  <si>
    <t>Khi tư vấn sản phẩm cho khách hàng B2B, nhân viên kinh doanh cần tập trung vào yếu tố nào?
A. Giá cả thấp nhất
B. Thời gian giao hàng nhanh nhất
C. Ưu điểm và lợi ích của sản phẩm đối với nhu cầu cụ thể của khách hàng  ✓
D. Chất lượng sản phẩm tốt nhất</t>
  </si>
  <si>
    <t>Trong quá trình đàm phán, nhân viên kinh doanh B2B cần làm gì để đảm bảo chốt được đơn hàng?
A. Đảm bảo khách hàng nhận ra giá trị của sản phẩm
B. Hỗ trợ khách hàng trong việc so sánh các lựa chọn khác
C. Thỏa thuận về điều khoản và điều kiện giao dịch
D. Tất cả các phương án trên  ✓</t>
  </si>
  <si>
    <t>Xử lý từ chối trong quá trình bán hàng</t>
  </si>
  <si>
    <t>Khi một khách hàng B2B từ chối mua sản phẩm của bạn, nhân viên kinh doanh nên làm gì tiếp theo?
A. Gợi ý rằng khách hàng đang thiếu thông tin về sản phẩm
B. Thay đổi chủ đề cuộc trò chuyện sang các vấn đề cá nhân
C. Giải thích lại lợi ích của sản phẩm một cách rõ ràng và cụ thể  ✓
D. Tỏ thái độ không hài lòng và yêu cầu giải thích từ khách hàng</t>
  </si>
  <si>
    <t>Trong trường hợp khách hàng B2B từ chối do giá cả, nhân viên kinh doanh nên làm gì?
A. Tăng giá để bù đắp cho sự từ chối
B. Thay đổi chủ đề cuộc trò chuyện sang các sản phẩm khác
C. Xem xét khả năng giảm giá hoặc tìm hiểu về nhu cầu thực tế của khách hàng
D. Tránh thảo luận về giá và chuyển sang bàn bạc về chất lượng sản phẩm  ✓</t>
  </si>
  <si>
    <t>Chạy quảng cáo Facebook Ads</t>
  </si>
  <si>
    <t>Khi chạy quảng cáo Facebook Ads, mục tiêu nào sau đây không phải là một trong những mục tiêu chính?
A. Tăng nhận diện thương hiệu
B. Tăng doanh số bán hàng trực tiếp
C. Tạo sự chú ý về sản phẩm mới
D. Giảm giá thành sản xuất  ✓</t>
  </si>
  <si>
    <t>Trong Facebook Ads, đơn vị đo lường nào được sử dụng để đánh giá hiệu suất của quảng cáo?
A. CTR (Click-Through Rate)
B. CPM (Cost Per Mille)  ✓
C. CPC (Cost Per Click)
D. ROI (Return On Investment)</t>
  </si>
  <si>
    <t>Chạy quảng cáo Google Ads</t>
  </si>
  <si>
    <t>Khi tạo chiến dịch Google Ads, bạn cần chọn loại quảng cáo nào để hiển thị trên trang kết quả tìm kiếm của Google?
A. Display
B. Video
C. Search  ✓
D. Shopping</t>
  </si>
  <si>
    <t>Trong Google Ads, chỉ số nào được sử dụng để đo lường hiệu suất của quảng cáo dựa trên mức độ tương tác và chuyển đổi của khách hàng?
A. CTR (Click-Through Rate)
B. CPC (Cost Per Click)
C. ROAS (Return on Advertising Spend)  ✓
D. CPM (Cost Per Mille)</t>
  </si>
  <si>
    <t>Tối ưu chỉ số CTR, CPC, CPA, ROAS</t>
  </si>
  <si>
    <t>Trong Digital Marketing, CTR (Click-Through Rate) là gì?
A. Số lượng người dùng nhấp vào quảng cáo chia cho số lần hiển thị quảng cáo  ✓
B. Tổng doanh thu từ một đơn hàng chia cho chi phí đầu tư vào quảng cáo
C. Chi phí trung bình mỗi lần nhấp chuột
D. Tổng số lượt xem trang web chia cho tổng số người dùng</t>
  </si>
  <si>
    <t>ROAS (Return on Advertising Spend) trong Digital Marketing được tính như thế nào?
A. Doanh thu từ quảng cáo chia cho chi phí đầu tư vào quảng cáo  ✓
B. Chi phí trung bình mỗi lần nhấp chuột chia cho doanh thu từ quảng cáo
C. Số lượng người dùng nhấp vào quảng cáo chia cho số lượt xem
D. Tổng số lượt xem trang web chia cho tổng doanh thu</t>
  </si>
  <si>
    <t>Phân tích dữ liệu chiến dịch bằng Google Analytics</t>
  </si>
  <si>
    <t>Khi phân tích hiệu suất của một chiến dịch email marketing trên Google Analytics, bạn cần theo dõi chỉ số nào để đánh giá hiệu quả chuyển đổi?
A. Bounce Rate
B. Conversion Rate  ✓
C. Page Views
D. Time on Site</t>
  </si>
  <si>
    <t>Trong Google Analytics, bạn cần sử dụng báo cáo nào để xem xét hành vi truy cập của khách hàng sau khi họ đã nhấp vào liên kết từ chiến dịch?
A. Báo cáo Traffic Sources  ✓
B. Báo cáo Acquisition - All Traffic
C. Báo cáo Behavior - Site Content
D. Báo cáo Conversions</t>
  </si>
  <si>
    <t>Lập báo cáo hiệu quả chiến dịch marketing</t>
  </si>
  <si>
    <t>Khi lập báo cáo hiệu quả chiến dịch marketing, thông tin nào sau đây là quan trọng nhất để đánh giá sự thành công của chiến dịch?
A. Số lượng trang web được thiết kế
B. Tổng số tiền đã chi cho quảng cáo
C. Lượt truy cập và chuyển đổi từ chiến dịch  ✓
D. Thời gian thực hiện chiến dịch</t>
  </si>
  <si>
    <t>Hiểu về phễu marketing</t>
  </si>
  <si>
    <t>Trong phễu marketing, giai đoạn nào sau cùng mà khách hàng đã quyết định mua sản phẩm?
A. Giai đoạn nhận thức
B. Giai đoạn quan tâm
C. Giai段落继续由AI填写plenment
D. Giai đoạn hành động  ✓</t>
  </si>
  <si>
    <t>Kỹ năng giao tiếp</t>
  </si>
  <si>
    <t>Khi phỏng vấn ứng viên, chuyên viên tuyển dụng nên tập trung vào những thông tin nào?
A. Thông tin cá nhân và học vấn của ứng viên
B. Kinh nghiệm làm việc và kỹ năng mềm của ứng viên  ✓
C. Mức lương mong muốn và thời gian làm việc của ứng viên
D. Quan hệ xã hội và mạng lưới của ứng viên</t>
  </si>
  <si>
    <t>Trong quá trình giao tiếp với các nhà tuyển dụng, chuyên viên tuyển dụng cần phải đảm bảo điều gì?
A. Đảm bảo thông tin được cung cấp là chính xác và cập nhật  ✓
B. Sử dụng ngôn ngữ chuyên môn để thể hiện sự hiểu biết sâu sắc
C. Luôn đồng ý với mọi yêu cầu của nhà tuyển dụng
D. Chỉ tập trung vào lợi ích của công ty</t>
  </si>
  <si>
    <t>Khi tổ chức một buổi phỏng vấn nhóm, chuyên viên tuyển dụng nên làm gì để đảm bảo quá trình diễn ra hiệu quả?
A. Đặt câu hỏi cá nhân cho từng ứng viên
B. Cho phép ứng viên tự do thảo luận mà không cần hướng dẫn
C. Xác định rõ mục tiêu và quy tắc của buổi phỏng vấn trước khi bắt đầu  ✓
D. Chỉ tập trung vào ứng viên có kinh nghiệm làm việc</t>
  </si>
  <si>
    <t>Trong quá trình giao tiếp qua email với ứng viên, chuyên viên tuyển dụng nên lưu ý điều gì?
A. Sử dụng ngôn ngữ phức tạp để thể hiện sự chuyên nghiệp
B. Đảm bảo thông tin chính xác và rõ ràng trong mỗi email  ✓
C. Gửi nhiều email cùng một lúc để đảm bảo ứng viên nhận được thông tin
D. Không cần trả lời ngay lập tức, đợi ứng viên liên hệ lại</t>
  </si>
  <si>
    <t>Đọc và đối chiếu JD với hồ sơ ứng viên</t>
  </si>
  <si>
    <t>Khi đối chiếu thông tin trong Job Description (JD) với hồ sơ ứng viên, bạn nhận thấy rằng ứng viên có kinh nghiệm làm việc trong lĩnh vực A nhưng JD chỉ yêu cầu kinh nghiệm trong lĩnh vực B. Bạn sẽ đánh giá ứng viên như thế nào?
A. Ứng viên không phù hợp vì không đáp ứng được yêu cầu của JD.
B. Ứng viên phù hợp vì họ có thể học hỏi và thích nghi nhanh chóng với lĩnh vực mới.  ✓
C. Ứng viên không phù hợp vì kinh nghiệm trong lĩnh vực A không liên quan đến công việc.
D. Ứng viên phù hợp nếu họ đã làm việc trong cả lĩnh vực A và B.</t>
  </si>
  <si>
    <t>Trong quá trình đối chiếu, bạn phát hiện ứng viên có kỹ năng X nhưng JD chỉ yêu cầu kỹ năng Y. Bạn sẽ đánh giá như thế nào?
A. Ứng viên không phù hợp vì họ thiếu kỹ năng Y.
B. Ứng viên phù hợp vì họ có kỹ năng X mà công việc không yêu cầu.
C. Ứng viên phù hợp nếu kỹ năng X là một phần quan trọng của vị trí và có thể bổ sung cho kỹ năng Y.  ✓
D. Ứng viên không phù hợp vì chỉ cần đáp ứng đúng yêu cầu của JD.</t>
  </si>
  <si>
    <t>Hiểu quy trình tuyển dụng cơ bản (sàng lọc - phỏng vấn - offer)</t>
  </si>
  <si>
    <t>Trong quy trình tuyển dụng, bước nào diễn ra trước khi tổ chức phỏng vấn?
A. Gửi thư mời
B. Sàng lọc hồ sơ ứng viên  ✓
C. Chuẩn bị câu hỏi phỏng vấn
D. Cung cấp thông tin về công ty</t>
  </si>
  <si>
    <t>Trong quá trình sàng lọc hồ sơ, nhân viên tuyển dụng thường đánh giá các yếu tố nào?
A. Mức lương mong muốn của ứng viên
B. Kinh nghiệm làm việc liên quan  ✓
C. Thời gian làm việc sẵn có
D. Ảnh chụp chứng minh thư</t>
  </si>
  <si>
    <t>Sau khi phỏng vấn, bước tiếp theo trong quy trình tuyển dụng là gì?
A. Liên hệ với ứng viên để thông báo về kết quả
B. Chuẩn bị hợp đồng làm việc  ✓
C. Đánh giá lại hồ sơ ứng viên
D. Tổ chức buổi phỏng vấn thứ hai</t>
  </si>
  <si>
    <t>Cẩn thận, chủ động</t>
  </si>
  <si>
    <t>Khi nhận thấy một ứng viên tiềm năng nhưng hồ sơ chưa đầy đủ, chuyên viên tuyển dụng cấp Junior nên làm gì?
A. Từ chối ứng viên vì hồ sơ không đầy đủ
B. Gửi email cho ứng viên để yêu cầu bổ sung thông tin và tiếp tục đánh giá  ✓
C. Thư từ ứng viên và kết thúc quá trình phỏng vấn
D. Bỏ qua thông tin thiếu hụt và tiếp tục với các ứng viên khác</t>
  </si>
  <si>
    <t>Khi khách hàng gọi điện với thắc mắc, nhân viên Chăm sóc Khách hàng nên làm gì đầu tiên?
A. Gợi ý giải pháp nhanh nhất cho vấn đề của khách hàng
B. Nhấn mạnh ưu điểm sản phẩm/dịch vụ của công ty
C. Xác nhận thông tin và hiểu rõ vấn đề của khách hàng  ✓
D. Hỏi về lịch sử giao dịch của khách hàng</t>
  </si>
  <si>
    <t>Trong trường hợp không thể giải quyết ngay thắc mắc của khách hàng, nhân viên Chăm sóc Khách hàng nên làm gì?
A. Hứa hẹn sẽ gọi lại sau
B. Trả lời rằng công ty không thể giúp đỡ
C. Ghi chú vấn đề và chuyển cho bộ phận liên quan xử lý
D. Để khách hàng tự tìm cách giải quyết  ✓</t>
  </si>
  <si>
    <t>Kỹ năng nào sau đây là quan trọng nhất để nhân viên Chăm sóc Khách hàng cần có?
A. Kỹ năng lập trình
B. Kỹ năng giao tiếp  ✓
C. Kỹ năng thiết kế đồ họa
D. Kỹ năng quản lý dự án</t>
  </si>
  <si>
    <t>Nếu khách hàng không hài lòng với dịch vụ, nhân viên Chăm sóc Khách hàng nên làm gì?
A. Tránh tiếp xúc trực tiếp với khách hàng
B. Xác nhận cảm giác của khách hàng và xin lỗi
C. Hỏi khách hàng về mức giá thấp hơn  ✓
D. Đề xuất giảm bớt số lượng dịch vụ mà khách hàng đang sử dụng</t>
  </si>
  <si>
    <t>Kỹ năng lắng nghe</t>
  </si>
  <si>
    <t>Khi khách hàng gọi điện với nhiều vấn đề phức tạp, nhân viên Chăm sóc Khách hàng nên làm gì để thể hiện kỹ năng lắng nghe hiệu quả?
A. Trả lời nhanh chóng và ngắn gọn để không làm mất thời gian của khách hàng
B. Gợi ý giải pháp ngay lập tức để khách hàng không phải chờ đợi
C. Ngắt lời khách hàng khi họ nói quá lâu để đưa ra câu hỏi chính xác
D. Xác nhận hiểu đúng thông tin bằng cách tóm tắt vấn đề và hỏi lại  ✓</t>
  </si>
  <si>
    <t>Nếu một khách hàng không hài lòng với sản phẩm, nhân viên Chăm sóc Khách hàng nên làm gì để lắng nghe kỹ hơn?
A. Trả lời rằng công ty đang luôn cải tiến và sẽ cố gắng hơn
B. Hỏi khách hàng cụ thể về vấn đề họ gặp phải và cảm nhận của họ  ✓
C. Giải thích lý do tại sao sản phẩm không phù hợp với khách hàng
D. Dẫn dắt cuộc trò chuyện sang các ưu điểm khác của sản phẩm</t>
  </si>
  <si>
    <t>Khi khách hàng gọi điện và nói rất nhanh, nhân viên Chăm sóc Khách hàng nên làm gì để đảm bảo họ hiểu đúng thông tin?
A. Gợi ý với khách hàng rằng họ cần nói chậm lại
B. Ngắt lời khách hàng để hỏi lại vấn đề một cách rõ ràng
C. Xác nhận bằng cách lặp lại những gì mình đã nghe và hỏi lại nếu có điều gì không chắc chắn  ✓
D. Tránh làm phiền khách hàng bằng cách chờ họ tự giải thích lại</t>
  </si>
  <si>
    <t>Xử lý tình huống khách hàng khó tính</t>
  </si>
  <si>
    <t>Khi một khách hàng gọi điện với thái độ khó chịu vì sản phẩm bị lỗi, nhân viên Chăm sóc Khách hàng nên làm gì đầu tiên?
A. Trả lời ngắn gọn và yêu cầu khách hàng đợi xử lý sau
B. Xác nhận thông tin của khách hàng và xin lỗi về sự không hài lòng  ✓
C. Giải thích rằng sản phẩm đang được bảo hành miễn phí
D. Yêu cầu khách hàng gửi lại sản phẩm để kiểm tra</t>
  </si>
  <si>
    <t>Nếu một khách hàng phản ánh về dịch vụ không tốt và yêu cầu hoàn tiền, nhân viên Chăm sóc Khách hàng nên xử lý như thế nào?
A. Hứa hẹn sẽ giải quyết ngay lập tức mà không cần kiểm tra
B. Xác nhận lại vấn đề với khách hàng và hướng dẫn quy trình hoàn trả
C. Từ chối yêu cầu của khách hàng vì chính sách công ty không cho phép  ✓
D. Ghi chú lại và để khách hàng chờ đợi câu trả lời sau</t>
  </si>
  <si>
    <t>Kiên nhẫn</t>
  </si>
  <si>
    <t>Khi một khách hàng gọi điện với nhiều thắc mắc phức tạp, bạn sẽ làm gì?
A. Gợi ý khách hàng liên hệ bộ phận kỹ thuật để giải quyết vấn đề.
B. Hãy kiên nhẫn lắng nghe và giải đáp từng thắc mắc của khách hàng một cách cẩn thận.  ✓
C. Trả lời nhanh chóng nhưng không cần quá chi tiết để kết thúc cuộc gọi sớm.
D. Yêu cầu khách hàng gửi email để có thể trả lời sau khi nghiên cứu kỹ vấn đề.</t>
  </si>
  <si>
    <t>Quản lý phạm vi dự án</t>
  </si>
  <si>
    <t>Trong quản lý phạm vi dự án, công cụ nào thường được sử dụng để xác định và kiểm soát các thay đổi trong phạm vi?
A. Gantt Chart
B. Phân tích SWOT
C. Quản lý thay đổi (Change Management)  ✓
D. Đồ thị Ishikawa</t>
  </si>
  <si>
    <t>Khi một dự án gặp phải rủi ro liên quan đến phạm vi, quản lý dự án nên thực hiện bước nào đầu tiên?
A. Tạo ra các giải pháp thay thế
B. Xác định mức độ ảnh hưởng của rủi ro  ✓
C. Đánh giá lại kế hoạch dự án
D. Thông báo cho khách hàng</t>
  </si>
  <si>
    <t>Quản lý thời gian dự án</t>
  </si>
  <si>
    <t>Trong quản lý dự án, phương pháp nào sau đây thường được sử dụng để xác định và ưu tiên các nhiệm vụ theo mức độ quan trọng?
A. Gantt Chart
B. Pareto Chart
C. Prioritization Matrix  ✓
D. Risk Register</t>
  </si>
  <si>
    <t>Khi quản lý thời gian dự án, phương pháp nào dưới đây được sử dụng để phân tích các rủi ro có thể ảnh hưởng đến tiến độ?
A. Critical Path Method (CPM)
B. Earned Value Management (EVM)
C. Resource Leveling
D. Risk Analysis  ✓</t>
  </si>
  <si>
    <t>Quản lý chi phí dự án</t>
  </si>
  <si>
    <t>Trong quản lý chi phí dự án, phương pháp nào sau đây thường được sử dụng để xác định và kiểm soát chi phí hiệu quả?
A. Phân tích SWOT
B. Quản lý rủi ro
C. Dự toán chi tiết (Detailed Budgeting)  ✓
D. Phân tích cạnh tranh thị trường</t>
  </si>
  <si>
    <t>Quản lý rủi ro và thay đổi trong dự án</t>
  </si>
  <si>
    <t>Trong quản lý dự án, quy trình nào sau đây là bước đầu tiên trong quá trình quản lý rủi ro?
A. Xác định và đánh giá rủi ro  ✓
B. Tạo ra kế hoạch quản lý rủi ro
C. Phân tích tác động của rủi ro
D. Thực hiện các biện pháp phòng ngừa</t>
  </si>
  <si>
    <t>Trong quá trình quản lý thay đổi dự án, bước nào sau đây không phải là một phần của quy trình?
A. Xác định yêu cầu thay đổi
B. Đánh giá tác động của thay đổi
C. Thực hiện và kiểm tra thay đổi
D. Tạo ra kế hoạch quản lý rủi ro  ✓</t>
  </si>
  <si>
    <t>Lãnh đạo và giao tiếp với stakeholder</t>
  </si>
  <si>
    <t>Khi giao tiếp với các stakeholder, quản lý dự án cần lưu ý điều gì để đảm bảo thông tin truyền đạt một cách hiệu quả?
A. Chỉ tập trung vào những vấn đề kỹ thuật
B. Đảm bảo thông tin được cung cấp đầy đủ và chính xác  ✓
C. Sử dụng ngôn ngữ chuyên môn phức tạp
D. Tránh trả lời các câu hỏi không liên quan</t>
  </si>
  <si>
    <t>Trong quá trình lãnh đạo dự án, quản lý dự án cần sử dụng kỹ năng nào để giải quyết xung đột giữa các stakeholder?
A. Kỹ năng lập kế hoạch
B. Kỹ năng giao tiếp và thương lượng  ✓
C. Kỹ năng phân tích số liệu
D. Kỹ năng thiết kế công nghệ</t>
  </si>
  <si>
    <t>Quản lý dự án cần làm gì để đảm bảo stakeholder nhận thức được tầm quan trọng của việc tuân thủ các quy định pháp luật trong quá trình thực hiện dự án?
A. Tránh thảo luận về vấn đề này
B. Chỉ thông báo cho một số stakeholder
C. Đảm bảo thông tin được truyền đạt đầy đủ và thường xuyên  ✓
D. Gửi email đơn giản không cần giải thích</t>
  </si>
  <si>
    <t>SQL JOIN</t>
  </si>
  <si>
    <t>Khi sử dụng JOIN trong SQL để kết hợp dữ liệu từ hai bảng có một trường chung, nhưng muốn lấy tất cả các bản ghi từ bảng thứ nhất và chỉ những bản ghi có trường chung với bảng thứ hai, nên sử dụng loại JOIN nào?
A. INNER JOIN
B. LEFT JOIN  ✓
C. RIGHT JOIN
D. FULL OUTER JOIN</t>
  </si>
  <si>
    <t>Trong SQL, khi thực hiện JOIN giữa bảng A và B, nếu muốn kết hợp tất cả bản ghi từ bảng A với các bản ghi trong bảng B mà có trường chung, nên sử dụng loại JOIN nào?
A. INNER JOIN
B. LEFT JOIN
C. RIGHT JOIN
D. FULL OUTER JOIN  ✓</t>
  </si>
  <si>
    <t>Hạch toán thuế GTGT</t>
  </si>
  <si>
    <t>Trong trường hợp bán hàng trả góp, doanh nghiệp cần xử lý như thế nào trong hạch toán thuế GTGT?
A. Hạch toán thuế GTGT ngay khi giao hàng cho khách
B. Chỉ hạch toán thuế GTGT khi khách thanh toán đầy đủ
C. Tạm không hạch toán thuế GTGT, chờ đến khi khách trả hết nợ mới hạch toán
D. Phân bổ thuế GTGT theo tiến độ của việc khách trả góp  ✓</t>
  </si>
  <si>
    <t>Giao tiếp tiếng Việt</t>
  </si>
  <si>
    <t>Khi giao tiếp với khách hàng, bạn cần sử dụng ngôn ngữ như thế nào để đảm bảo sự chuyên nghiệp và hiệu quả?
A. Ngôn ngữ thô lỗ
B. Ngôn ngữ ngắn gọn
C. Ngôn ngữ lịch sự và rõ ràng  ✓
D. Ngôn ngữ phức tạp</t>
  </si>
  <si>
    <t>Trong trường hợp khách hàng có yêu cầu không rõ ràng, bạn sẽ làm gì để đảm bảo hiểu đúng yêu cầu của họ?
A. Tự quyết định cách thực hiện
B. Yêu cầu khách hàng cung cấp thêm thông tin  ✓
C. Giao cho đồng nghiệp giải quyết
D. Tránh trả lời</t>
  </si>
  <si>
    <t>Khi gặp phải tình huống ngoại lệ trong công việc, bạn sẽ xử lý như thế nào?
A. Tùy tiện giải quyết
B. Trao đổi với đồng nghiệp để tìm cách giải quyết  ✓
C. Để cho cấp trên giải quyết
D. Không hành động</t>
  </si>
  <si>
    <t>Nếu khách hàng có phản hồi tiêu cực về dịch vụ, bạn sẽ xử lý như thế nào?
A. Tranh cãi với khách hàng
B. Xem nhẹ phản hồi của khách hàng
C. Tư duy tích cực và tìm cách cải thiện  ✓
D. Không xin lỗi</t>
  </si>
  <si>
    <t>Sử dụng phần mềm văn phòng (Word, Excel, PowerPoint)</t>
  </si>
  <si>
    <t>Khi sử dụng Microsoft Word để tạo một tài liệu, bạn muốn thêm một hình ảnh vào trang và điều chỉnh vị trí của nó sao cho hình ảnh này không bị di chuyển khi thay đổi kích thước trang. Bạn nên chọn tính năng nào trong các lựa chọn sau?
A. Thêm hình ảnh thông thường
B. Thêm hình ảnh làm nền
C. Đặt hình ảnh vào một khung cố định  ✓
D. Điều chỉnh kích thước của hình ảnh</t>
  </si>
  <si>
    <t>Trong Microsoft Excel, bạn cần tạo một bảng tính để theo dõi doanh thu hàng tháng. Bạn muốn sử dụng công thức để tự động tính tổng doanh thu cho từng tháng và tổng cộng năm. Công thức nào sau đây là cách đúng nhất để thực hiện?
A. =SUM(A1:A30)  ✓
B. =TOTAL(A1:A30)
C. =ADDUP(A1:A30)
D. =SUMMARIZE(A1:A30)</t>
  </si>
  <si>
    <t>Khi sử dụng Microsoft PowerPoint để trình bày, bạn muốn thêm một hiệu ứng chuyển đổi từ trang này sang trang khác. Hiệu ứng nào sau đây không phải là một trong các lựa chọn chuyển đổi sẵn có?
A. Chuyển đổi từ trái sang phải
B. Chuyển đổi từ trên xuống dưới
C. Chuyển đổi từ giữa ra ngoài
D. Chuyển đổi từ dưới lên trên  ✓</t>
  </si>
  <si>
    <t>Quản lý lịch hẹn và lịch trình</t>
  </si>
  <si>
    <t>Khi quản lý lịch hẹn cho một hội nghị trực tuyến với nhiều người tham gia từ các múi giờ khác nhau, chuyên viên Văn phòng cần lưu ý điều gì?
A. Chỉ cần xác định thời gian bắt đầu của hội nghị
B. Chọn một múi giờ cố định cho toàn bộ hội nghị
C. Đảm bảo lịch hẹn phù hợp với múi giờ của tất cả các tham gia  ✓
D. Không cần xem xét múi giờ khi tổ chức hội nghị trực tuyến</t>
  </si>
  <si>
    <t>Trong trường hợp một nhân viên có lịch trình bận rộn và nhiều cuộc hẹn, chuyên viên Văn phòng nên sử dụng công cụ nào để tối ưu hóa quản lý thời gian?
A. Một cuốn sổ tay giấy
B. Một ứng dụng quản lý lịch hẹn di động  ✓
C. Một bảng lịch giấy
D. Email cá nhân</t>
  </si>
  <si>
    <t>Trong C#, khi sử dụng lớp基线代码需要翻译成中文，以下是修改后的版本：````json
{
A. public class Program { public void Main() { Console.WriteLine("Hello World"); } }
B. class Program { static void Main(string[] args) { Console.WriteLine("Hello World"); } }
C. class Program { public void Main() { Console.WriteLine("Hello World"); } }
D. public class Program { static void Main(string[] args) { Console.WriteLine("Hello World"); } }  ✓</t>
  </si>
  <si>
    <t>Trong C#, phương thức nào sau đây không thuộc lớp Object?
A. ToString()
B. Equals()
C. GetHashCode()
D. Add()  ✓</t>
  </si>
  <si>
    <t>Để lọc ra tất cả các sản phẩm có giá bán trên 100.000 từ bảng Products sử dụng LINQ, câu lệnh nào sau đây là chính xác?
A. var result = from p in Products where p.Price &lt; 100000 select p;
B. var result = from p in Products where p.Price &gt; 100000 select p;  ✓
C. var result = Products.Where(p =&gt; p.Price &lt;= 100000);
D. var result = Products.FindAll(p =&gt; p.Price &gt;= 100000);</t>
  </si>
  <si>
    <t>Trong HTTP/REST, phương thức nào được sử dụng để tạo một tài nguyên mới trên server?
A. GET
B. POST  ✓
C. PUT
D. DELETE</t>
  </si>
  <si>
    <t>Trong truy vấn SQL, nếu bạn muốn lấy tất cả các sản phẩm từ bảng Products mà chỉ hiển thị những sản phẩm có giá trên 1000, câu lệnh SELECT nào sau đây là đúng?
A. SELECT * FROM Products WHERE Price &lt; 1000
B. SELECT * FROM Products WHERE Price &gt; 1000  ✓
C. SELECT ProductName FROM Products WHERE Price = 1000
D. SELECT * FROM Products WHERE Price &gt;= 1000</t>
  </si>
  <si>
    <t>Để lấy ra danh sách các sản phẩm từ bảng Products và danh sách các đơn hàng từ bảng Orders, đồng thời kết hợp (JOIN) dựa trên ID Sản phẩm, câu lệnh SQL nào sau đây là đúng?
A. SELECT * FROM Products JOIN Orders ON ProductID
B. SELECT * FROM Products INNER JOIN Orders ON Products.ProductID = Orders.ProductID  ✓
C. SELECT * FROM Products LEFT JOIN Orders ON ProductID
D. SELECT * FROM Products RIGHT JOIN Orders ON ProductID</t>
  </si>
  <si>
    <t>Trong Entity Framework Core, để thực hiện một truy vấn LINQ trả về danh sách các đối tượng Customer có tên bắt đầu với 'A', bạn sẽ sử dụng phương thức nào sau đây?
A. Customer.Where(c =&gt; c.Name.StartsWith('A')).ToList()  ✓
B. Customer.FindAll(c =&gt; c.Name == 'A*').ToList()
C. Customer.FirstOrDefault(c =&gt; c.Name.StartsWith('A'))
D. Customer.Include(c =&gt; c.Name).Where('A*').ToList()</t>
  </si>
  <si>
    <t>API RESTful nào dưới đây không tuân theo nguyên tắc của HTTP GET method?
A. GET /users
B. GET /users/123
C. POST /login  ✓
D. DELETE /users/123</t>
  </si>
  <si>
    <t>Trong Git, lệnh nào sau đây dùng để ghi nhận các thay đổi trong code và lưu chúng vào repository?
A. git commit  ✓
B. git push
C. git pull
D. git merge</t>
  </si>
  <si>
    <t>Để kiểm tra tính chính xác của hàm TínhThueGiamDoc() trong lớp Thuế, bạn nên sử dụng phương pháp nào sau đây?
A. Kiểm thử chấp nhận
B. Kiểm thử tích hợp
C. Kiểm thử đơn vị  ✓
D. Kiểm thử hệ thống</t>
  </si>
  <si>
    <t>Trong kiến trúc microservices, khi một dịch vụ cần truy cập dữ liệu từ một dịch vụ khác, cách tiếp cận tốt nhất là gì?
A. Tạo API REST giữa hai dịch vụ  ✓
B. Chia sẻ cơ sở dữ liệu trực tiếp giữa các dịch vụ
C. Gửi yêu cầu qua giao thức RPC
D. Bảo lưu tất cả dữ liệu vào một bảng duy nhất</t>
  </si>
  <si>
    <t>Trong microservices, cách nào sau đây giúp giảm bớt sự phụ thuộc lẫn nhau giữa các dịch vụ?
A. Tăng số lượng dịch vụ
B. Chia nhỏ chức năng thành nhiều dịch vụ nhỏ hơn  ✓
C. Sử dụng chung một cơ sở dữ liệu cho tất cả các dịch vụ
D. Tạo API REST phức tạp</t>
  </si>
  <si>
    <t>Trong .NET Framework, lớp nào được sử dụng để thực hiện các tác vụ I/O như đọc và viết tệp?
A. System.IO.Stream  ✓
B. System.Collections.Generic.List
C. System.Linq.Enumerable
D. System.Net.Http</t>
  </si>
  <si>
    <t>Trong Entity Framework Core, bạn đang thực hiện truy vấn lấy tất cả các đơn hàng của một khách hàng cụ thể. Để tối ưu hóa hiệu suất và tránh N+1 query, bạn nên làm gì?
A. Tạo một phương thức Include để tải danh sách chi tiết sản phẩm cùng lúc  ✓
B. Thêm chỉ mục trên cột CustomerId trong bảng Orders
C. Sử dụng .AsNoTracking() khi lấy dữ liệu
D. Đổi Entity Framework Core sang ADO.NET</t>
  </si>
  <si>
    <t>Khi thực hiện truy vấn SQL Server, bạn nhận thấy execution plan đang sử dụng phương pháp table scan thay vì index seek. Điều này có thể dẫn đến hiệu suất kém. Cách nào sau đây sẽ giúp cải thiện tình hình?
A. Tăng kích thước bộ nhớ cache của SQL Server
B. Thêm chỉ mục hợp lý trên các cột được sử dụng trong điều kiện WHERE  ✓
C. Thay đổi cấu trúc dữ liệu lưu trữ từ In-Memory sang Disk-based
D. Đổi Entity Framework Core thành LINQ to Objects</t>
  </si>
  <si>
    <t>Bạn đang viết một truy vấn SQL Server để lấy tổng số tiền của tất cả các đơn hàng. Để tối ưu hóa execution plan, bạn nên làm gì?
A. Sử dụng CTE (Common Table Expression) để phân chia truy vấn thành nhiều phần
B. Thêm chỉ mục trên cột OrderAmount trong bảng Orders  ✓
C. Thay đổi kiểu dữ liệu của cột OrderAmount từ int sang decimal
D. Tăng kích thước bộ nhớ cache của SQL Server</t>
  </si>
  <si>
    <t>Khi thiết kế API cho một dịch vụ quản lý dự án, bạn cần đảm bảo tính nhất quán của dữ liệu. Cách tốt nhất để thực hiện điều này là gì?
A. Sử dụng transaction trong quá trình cập nhật  ✓
B. Kiểm tra ràng buộc trước khi gửi yêu cầu
C. Thiết lập cache trên các kết quả API
D. Tăng số lượng máy chủ backend</t>
  </si>
  <si>
    <t>Trong quá trình review API, bạn phát hiện một endpoint đang xử lý cả GET và POST nhưng không phân biệt. Điều này có thể dẫn đến vấn đề gì?
A. Vi phạm nguyên tắc DRY
B. Lỗi về tính nhất quán của dữ liệu
C. Rủi ro bảo mật
D. Không tuân thủ RESTful  ✓</t>
  </si>
  <si>
    <t>Trong kiến trúc CQRS, Repository và Dependency Injection được sử dụng như thế nào để đảm bảo tính linh hoạt và tách biệt giữa các lớp?
A. Repository quản lý giao tiếp với cơ sở dữ liệu, Dependency Injection cung cấp đối tượng cần thiết cho class  ✓
B. Dependency Injection tạo ra instance của Repository, Repository thực hiện truy vấn cơ sở dữ liệu
C. Repository lưu trữ logic kinh doanh, Dependency Injection quản lý lifecycle của object
D. Repository và Dependency Injection đều không liên quan đến CQRS</t>
  </si>
  <si>
    <t>Khi thực hiện giao dịch ngân hàng trong ứng dụng .NET, bạn cần đảm bảo tính nhất quán và tránh xung đột giữa các giao dịch. Cách nào sau đây không phải là giải pháp hiệu quả để xử lý vấn đề này?
A. Sử dụng TransactionScope
B. Thực hiện locking trên đối tượng chung  ✓
C. Sử dụng Entity Framework's SaveChangesWithOriginalValues
D. Sử dụng乐观锁（Optimistic Locking）</t>
  </si>
  <si>
    <t>Khi sử dụng React.memo() trong component, điều gì sẽ xảy ra nếu props của component thay đổi?
A. Component sẽ được render lại  ✓
B. Component sẽ không được render lại
C. Component sẽ bị xóa khỏi bộ nhớ
D. Component sẽ tự động cập nhật state</t>
  </si>
  <si>
    <t>Trong React, phương thức nào sau đây giúp tối ưu hóa hiệu suất khi sử dụng hooks?
A. useState()
B. useEffect()
C. useMemo()  ✓
D. useCallback()</t>
  </si>
  <si>
    <t>Khi sử dụng Jest và React Testing Library để viết test cho một component React đơn giản hiển thị tên người dùng, bạn cần kiểm tra gì để đảm bảo component hoạt động như mong đợi?
A. Kiểm tra xem component có được render không
B. Kiểm tra xem component có hiển thị tên người dùng đúng không  ✓
C. Kiểm tra xem component có thay đổi màu sắc khi kích thước màn hình thay đổi
D. Kiểm tra xem component có gửi request API không</t>
  </si>
  <si>
    <t>Khi xây dựng component tái sử dụng trong React, bạn nên sử dụng tính năng nào để đảm bảo component có thể được sử dụng ở nhiều nơi khác nhau trong ứng dụng?
A. State
B. Props  ✓
C. Lifecycle methods
D. Context API</t>
  </si>
  <si>
    <t>Khi sử dụng Redux để quản lý state trong ứng dụng React, component nào có thể dispatch action để thay đổi state?
A. Component con
B. Component cha  ✓
C. Context.Provider
D. React.useReducer</t>
  </si>
  <si>
    <t>Trong Context API, phương thức nào được sử dụng để cung cấp giá trị cho các component con?
A. useContext()
B. Provider  ✓
C. Consumer
D. useReducer()</t>
  </si>
  <si>
    <t>Khi tích hợp REST API vào ứng dụng React, component nào thường được sử dụng để thực hiện các thao tác như GET, POST, PUT và DELETE?
A. useState
B. useEffect
C. axios  ✓
D. useContext</t>
  </si>
  <si>
    <t>Virtual DOM trong React là gì và mục đích chính của nó là gì?
A. Virtual DOM là một bản sao kỹ thuật số của DOM thực tế, giúp tăng tốc độ giao diện người dùng bằng cách giảm thiểu thao tác trực tiếp lên DOM.  ✓
B. Virtual DOM là một công cụ để tạo ra các hiệu ứng chuyển đổi mượt mà trên trang web.
C. Virtual DOM là một thư viện JavaScript độc lập không liên quan đến React.
D. Virtual DOM là một phương pháp tối ưu hóa việc quản lý state trong ứng dụng React.</t>
  </si>
  <si>
    <t>Khi sử dụng React, bạn cần tối ưu hiệu năng để tránh việc render không cần thiết. Phương pháp nào sau đây giúp ngăn chặn việc render lại các component con khi state của component cha không thay đổi?
A. useState
B. useEffect
C. React.memo  ✓
D. useReducer</t>
  </si>
  <si>
    <t>Để tối ưu hóa hiệu năng trang web, bạn nên sử dụng phương pháp nào sau đây khi tải các tài nguyên như hình ảnh?
A. Tải tất cả cùng một lúc
B. Sử dụng lazy loading  ✓
C. Không sử dụng bất kỳ công nghệ nén nào
D. Tăng kích thước của hình ảnh</t>
  </si>
  <si>
    <t>Trong một cơ sở dữ liệu lớn với nhiều bảng liên kết, bạn cần truy vấn tổng số lượng sản phẩm đã bán trong năm 2021. Cách viết câu lệnh SQL hiệu quả nhất là gì?
A. SELECT SUM(Soluong) FROM DonHang WHERE Nam = '2021'
B. SELECT SUM(Soluong) AS TongSoluong FROM (SELECT Soluong FROM ChiTietDonHang INNER JOIN DonHang ON ChiTietDonHang.MaDonHang = DonHang.MaDonHang WHERE Nam = '2021') AS SubQuery  ✓
C. SELECT SUM(TongSoluong) FROM (SELECT Soluong * GiaBan AS TongSoluong FROM ChiTietDonHang INNER JOIN DonHang ON ChiTietDonHang.MaDonHang = DonHang.MaDonHang WHERE Nam = '2021') AS SubQuery
D. SELECT SUM(Soluong) FROM ChiTietDonHang WHERE Nam = '2021'</t>
  </si>
  <si>
    <t>Bạn cần tìm ra các sản phẩm có số lượng tồn kho dưới mức cảnh báo. Cách viết câu lệnh SQL đúng là gì?
A. SELECT MaSanPham FROM SanPham WHERE TonKho &lt; MucCanhBao  ✓
B. SELECT MaSanPham, TonKho FROM SanPham WHERE TonKho &lt; (SELECT MucCanhBao FROM CacMucCanhBao)
C. SELECT MaSanPham, TonKho FROM SanPham INNER JOIN CacMucCanhBao ON SanPham.MucCanhBaoID = CacMucCanhBao.ID WHERE TonKho &lt; MucCanhBao
D. SELECT MaSanPham, TonKho FROM SanPham WHERE TonKho &lt; (SELECT MIN(MucCanhBao) FROM CacMucCanhBao)</t>
  </si>
  <si>
    <t>Bạn cần thống kê số lượng đơn hàng mỗi ngày trong tháng 12 năm 2021. Cách viết câu lệnh SQL đúng là gì?
A. SELECT COUNT(*) FROM DonHang WHERE Nam = '2021' AND Thang = '12'
B. SELECT DATE_FORMAT(NgayDat, '%Y-%m-%d') AS Ngay, COUNT(*) AS SoLuongDon FROM DonHang WHERE Nam = '2021' AND Thang = '12' GROUP BY Ngay
C. SELECT DAYOFMONTH(NgayDat) AS Ngay, COUNT(*) AS SoLuongDon FROM DonHang WHERE Nam = '2021' AND Thang = '12' GROUP BY Ngay  ✓
D. SELECT DATE_FORMAT(NgayDat, '%Y-%m') AS Thang, COUNT(*) AS SoLuongDon FROM DonHang WHERE Nam = '2021' AND Thang = '12' GROUP BY Thang</t>
  </si>
  <si>
    <t>Trong SQL, Window function giúp xử lý dữ liệu theo một khung cửa sổ động. Để tính tổng giá trị của mỗi nhóm khách hàng trong bảng Orders mà không sử dụng GROUP BY, bạn sẽ sử dụng hàm nào?
A. SUM()
B. AVG()
C. ROW_NUMBER()
D. SUM() OVER (PARTITION BY CustomerId)  ✓</t>
  </si>
  <si>
    <t>Nếu muốn lấy ra top 5 khách hàng có tổng số đơn hàng lớn nhất trong bảng Orders, bạn sẽ sử dụng hàm nào kết hợp với ROW_NUMBER()?
A. ORDER BY
B. LIMIT
C. TOP
D. ROW_NUMBER() OVER (PARTITION BY CustomerId ORDER BY COUNT(OrderId) DESC)  ✓</t>
  </si>
  <si>
    <t>CTE trong SQL giúp cải thiện hiệu suất như thế nào khi sử dụng?
A. Giúp tối ưu hóa truy vấn bằng cách tách thành nhiều bước  ✓
B. Tăng tốc độ truy vấn bằng cách tạo chỉ mục tự động
C. Giảm dung lượng lưu trữ của dữ liệu
D. Không có tác động đến hiệu suất</t>
  </si>
  <si>
    <t>Khi sử dụng thư viện Pandas trong Python để xử lý dữ liệu lớn, bạn nên lưu ý điều gì để tối ưu hóa hiệu suất?
A. Sử dụng DataFrame thay vì Series
B. Tăng kích thước bộ nhớ cache của máy chủ
C. Chỉ định kiểu dữ liệu cụ thể cho các cột  ✓
D. Loại bỏ tất cả các dòng trống</t>
  </si>
  <si>
    <t>Trong Python, bạn muốn tạo một hàm có thể nhận vào bất kỳ số lượng tham số nào và trả về tổng của chúng. Cách viết hàm này đúng là gì?
A. def sum(*args): return sum(args)  ✓
B. def sum(**kwargs): return sum(kwargs.values())
C. def sum(*args): return args[0] + args[1]
D. def sum(x, y=0): return x + y</t>
  </si>
  <si>
    <t>Khi sử dụng thư viện NumPy trong Python để thực hiện các phép toán ma trận, bạn nên lưu ý điều gì để tối ưu hóa hiệu suất?
A. Chỉ định kiểu dữ liệu cụ thể cho mảng  ✓
B. Tăng kích thước bộ nhớ cache của máy chủ
C. Sử dụng vòng lặp for để duyệt qua từng phần tử
D. Loại bỏ tất cả các dòng trống</t>
  </si>
  <si>
    <t>Trong Spark, khi sử dụng action để tính toán DataFrame, nếu không áp dụng phép lọc (filter) trước, kết quả có thể bị chậm. Cách nào sau đây sẽ giúp cải thiện hiệu suất?
A. Sử dụng broadcast join cho các DataFrame lớn
B. Tăng bộ nhớ cache toàn bộ DataFrame
C. Áp dụng filter trước khi sử dụng action  ✓
D. Thay đổi kiểu dữ liệu trong DataFrame</t>
  </si>
  <si>
    <t>Khi một doanh nghiệp bán hàng với giá trị 50 triệu đồng và nhận tiền mặt ngay lập tức, bút toán ghi chép vào sổ kế toán như thế nào?
A. Nợ Hàng hóa / Có Tiền mặt
B. Nợ Doanh thu / Có Tiền mặt  ✓
C. Nợ Chi phí / Có Tiền mặt
D. Nợ Hàng tồn kho / Có Tiền mặt</t>
  </si>
  <si>
    <t>Khi một doanh nghiệp mua hàng với giá trị 30 triệu đồng nhưng thanh toán sau này, bút toán ghi chép vào sổ kế toán như thế nào?
A. Nợ Hàng hóa / Có Phải trả người mua
B. Nợ Phải trả người bán / Có Hàng hóa  ✓
C. Nợ Hàng hóa / Có Tiền mặt
D. Nợ Phải trả người bán / Có Tiền mặt</t>
  </si>
  <si>
    <t>Khi doanh nghiệp bán hàng với giá trị 50 triệu đồng và khách hàng thanh toán sau 30 ngày, bút toán ghi nhận vào sổ kế toán sẽ là gì?
A. Nợ Hàng tồn kho / Có Doanh thu
B. Nợ Tiền mặt / Có Doanh thu
C. Nợ Đơn vị bán hàng / Có Doanh thu
D. Nợ));// Nợ Tạm ứng khách hàng / Có Doanh thu  ✓</t>
  </si>
  <si>
    <t>Khi bán hàng với giá 5.000.000 đồng và chi phí sản xuất là 3.000.000 đồng, doanh nghiệp nên ghi nhận vào tài khoản nào để phản ánh phần lợi nhuận?
A. Tài khoản Doanh thu
B. Tài khoản Chi phí sản xuất
C. Tài khoản Lợi nhuận từ hoạt động chính  ✓
D. Tài khoản Giá vốn hàng bán</t>
  </si>
  <si>
    <t>Nếu một doanh nghiệp mua hàng hóa với giá 1.500.000 đồng và sau đó bán với giá 2.000.000 đồng, phần chênh lệch giữa giá bán và giá mua sẽ được ghi nhận vào tài khoản nào?
A. Tài khoản Doanh thu từ hoạt động chính  ✓
B. Tài khoản Chi phí hàng bán
C. Tài khoản Lợi nhuận từ hoạt động kinh doanh
D. Tài khoản Giá vốn hàng bán</t>
  </si>
  <si>
    <t>Trong trường hợp một công ty mua hàng hóa với giá 2.500.000 đồng và sau đó trả lại cho nhà cung cấp, bút toán ghi nhận đúng là gì?
A. Nợ Hàng hóa / Có Tiền mặt
B. Nợ Phải trả người bán / Có Hàng hóa
C. Nợ Chi phí hàng bán / Có Tiền mặt
D. Nợ Hàng hóa / Có Phải trả người bán  ✓</t>
  </si>
  <si>
    <t>Trong Excel, công thức nào sau đây sẽ tính tổng số lượng hàng bán trong tháng 5 từ cột D (D代表列) 哪个月份的销售额最高？假设数据从第2行开始，月份在A列，销售额在B列。
A. =SUMIFS(B:B,A:A,"&gt;=5/1/2023",A:A,"&lt;=5/31/2023")
B. =SUMIF(A:A,"&gt;=5/1/2023",B:B) + SUMIF(A:A,"&lt;=5/31/2023",B:B)
C. =SUMIFS(B:B,A:A,"&gt;=5/1/2023",A:A,"&lt;=5/31/2023")
D. =SUMPRODUCT((MONTH($A$2:$A$100)=5)*($B$2:$B$100))  ✓</t>
  </si>
  <si>
    <t>Khi sử dụng Excel để phân tích báo cáo tài chính, công thức nào sau đây sẽ tính trung bình cộng của các giá trị trong cột E từ hàng thứ 5 đến hàng thứ 20?
A. =AVERAGE(E5:E20)
B. =SUM(E5:E20)/16
C. =AVERAGEIF(E5:E20,"&gt;0")
D. =SUM(E5:E20)/COUNT(E5:E20)  ✓</t>
  </si>
  <si>
    <t>Khi phát hiện chứng từ kế toán không hợp lệ, kế toán viên nên thực hiện bước đầu tiên nào sau đây?
A. Gửi lại cho bộ phận mua hàng để kiểm tra
B. Lập bút toán điều chỉnh ngay lập tức
C. Từ chối nhận và ghi chú lý do  ✓
D. Xác minh với người bán hàng</t>
  </si>
  <si>
    <t>Theo Thông tư 200, khi lập báo cáo tài chính, các khoản chi phí phải được phân bổ vào các kỳ sử dụng. Khoản chi phí nào dưới đây không cần được phân bổ theo thời gian sử dụng?
A. Chi phí sửa chữa và bảo dưỡng
B. Chi phí mua sắm máy móc
C. Chi phí thuê nhà  ✓
D. Chi phí điện, nước</t>
  </si>
  <si>
    <t>Khi thuyết phục khách hàng mua sản phẩm mới của công ty, bạn nên tập trung vào điểm nào để tăng hiệu quả?
A. Giá cả so với đối thủ
B. Chất lượng sản phẩm cũ
C. Lợi ích cụ thể mà sản phẩm mang lại cho khách hàng  ✓
D. Số lượng tồn kho hiện tại</t>
  </si>
  <si>
    <t>Trong một cuộc họp kinh doanh, bạn phát hiện ra rằng một đồng nghiệp của mình đang đưa ra thông tin không chính xác. Bạn nên làm gì?
A. Từ chối tham gia cuộc họp
B. Thay đổi chủ đề cuộc họp
C. Đưa ra bằng chứng và giải thích  ✓
D. Tránh vấn đề để duy trì mối quan hệ</t>
  </si>
  <si>
    <t>Khi gặp khách hàng mới, bạn nên bắt đầu bằng cách nào để tạo thiện cảm?
A. Hỏi về lịch trình công việc của họ
B. Giới thiệu sản phẩm ngay lập tức
C. Chia sẻ thông tin cá nhân
D. Đưa ra lời chào và giới thiệu bản thân  ✓</t>
  </si>
  <si>
    <t>Nếu khách hàng từ chối một đề xuất, bạn nên làm gì tiếp theo?
A. Tỏ thái độ không hài lòng
B. Thay đổi đề xuất ngay lập tức
C. Xác định nguyên nhân và tìm cách cải thiện  ✓
D. Tránh tiếp tục cuộc trò chuyện</t>
  </si>
  <si>
    <t>Trong quy trình bán hàng B2B, bước nào sau đây không phải là một trong bốn bước chính (tiếp cận - tư vấn - đàm phán - chốt)?
A. Tiếp cận khách hàng
B. Tư vấn sản phẩm
C. Đàm phán giá cả
D. Giao hàng sản phẩm  ✓</t>
  </si>
  <si>
    <t>Khi tiếp cận khách hàng B2B, nhân viên kinh doanh cần chuẩn bị những thông tin nào để tăng hiệu quả tiếp cận?
A. Sản phẩm mới nhất của công ty
B. Danh sách khách hàng hiện tại
C. Thương hiệu sản phẩm
D. Thông tin về nhu cầu và tình hình kinh doanh của khách hàng  ✓</t>
  </si>
  <si>
    <t>Trong quá trình đàm phán, nhân viên kinh doanh B2B nên tập trung vào mục tiêu nào để đạt được thỏa thuận tốt nhất?
A. Giảm giá mạnh mẽ
B. Tăng lợi nhuận của công ty
C. Tạo mối quan hệ lâu dài với khách hàng  ✓
D. Chốt đơn hàng nhanh chóng</t>
  </si>
  <si>
    <t>Khi khách hàng từ chối mua sản phẩm do giá cao, cách xử lý phù hợp nhất là gì?
A. Tranh cãi với khách hàng về giá
B. Giảm giá mạnh mẽ ngay lập tức
C. Tư vấn thêm về lợi ích và giá trị của sản phẩm  ✓
D. Bỏ qua phản hồi của khách hàng</t>
  </si>
  <si>
    <t>Nếu khách hàng từ chối mua do lo ngại về chất lượng, bạn nên làm gì?
A. Hỏi lại khách hàng về lý do cụ thể để hiểu rõ  ✓
B. Giảm giá sản phẩm mạnh mẽ
C. Bảo đảm bằng lời rằng chất lượng tốt
D. Tránh thảo luận về vấn đề và chuyển sang chủ đề khác</t>
  </si>
  <si>
    <t>Khi chạy quảng cáo Facebook Ads, nếu bạn muốn mục tiêu là tăng nhận diện thương hiệu thay vì chuyển đổi cụ thể, bạn nên chọn loại đối tượng nào?
A. Đối tượng có tương tác với trang fanpage  ✓
B. Đối tượng đã mua sản phẩm của công ty
C. Đối tượng không quan tâm đến ngành hàng của công ty
D. Đối tượng đã xem quảng cáo của đối thủ</t>
  </si>
  <si>
    <t>Trong Facebook Ads, nếu bạn muốn tối ưu hóa quảng cáo để tăng tỷ lệ nhấp (CTR), bạn nên tập trung vào yếu tố nào?
A. Nội dung và hình ảnh hấp dẫn  ✓
B. Giá cả của sản phẩm
C. Thời gian hiển thị quảng cáo
D. Độ dài tiêu đề quảng cáo</t>
  </si>
  <si>
    <t>Trong Google Ads, nếu bạn muốn tối ưu hóa chi phí cho một chiến dịch cụ thể, bạn nên sử dụng tính năng nào sau đây?
A. Tối ưu hóa từ khóa
B. Tối ưu hóa quảng cáo
C. Tối ưu hóa giá cpc
D. Tối ưu hóa mục tiêu chuyển đổi  ✓</t>
  </si>
  <si>
    <t>Khi sử dụng Google Ads, bạn muốn theo dõi hiệu suất của chiến dịch trên các thiết bị di động. Bạn nên chọn loại báo cáo nào?
A. Báo cáo tổng quan
B. Báo cáo vị trí địa lý
C. Báo cáo thiết bị  ✓
D. Báo cáo từ khóa</t>
  </si>
  <si>
    <t>Để tối ưu hóa chỉ số CTR (Click-Through Rate), bạn nên tập trung vào việc cải thiện điều gì?
A. Tăng giá CPC
B. Giảm thời gian tải trang
C. Tối ưu hóa tiêu đề và mô tả quảng cáo  ✓
D. Tăng ngân sách quảng cáo</t>
  </si>
  <si>
    <t>Nếu mục tiêu là tối ưu hóa ROAS (Return on Advertising Spend), bạn nên tập trung vào việc cải thiện chỉ số nào?
A. Giảm CTR
B. Tăng CPC
C. Tăng CPA
D. Tăng doanh thu từ quảng cáo  ✓</t>
  </si>
  <si>
    <t>Trong Google Analytics, bạn muốn xem số lượng người dùng mới truy cập vào website trong tháng vừa qua. Bạn nên sử dụng báo cáo nào?
A. Báo cáo Traffic Sources
B. Báo cáo Audience Overview
C. Báo cáo Acquisition - All Traffic  ✓
D. Báo cáo Behavior - Events</t>
  </si>
  <si>
    <t>Bạn muốn phân tích hiệu suất của các chiến dịch quảng cáo trên Google Ads. Trong Google Analytics, bạn nên sử dụng tính năng nào để liên kết dữ liệu từ Google Ads?
A. Tính năng Universal Analytics
B. Tính năng Admin &amp; Settings
C. Tính năng Data Import
D. Tính năng Campaigns  ✓</t>
  </si>
  <si>
    <t>Khi lập báo cáo hiệu quả chiến dịch marketing, bạn cần bao gồm những thông tin nào để đánh giá hiệu suất của chiến dịch?
A. Tên chiến dịch
B. Ngày bắt đầu và kết thúc
C. Chi phí đầu tư
D. Tổng số lượt truy cập (UV) và tỷ lệ chuyển đổi (%)  ✓</t>
  </si>
  <si>
    <t>Trong phễu marketing, giai đoạn nào có mục tiêu chính là tạo ra sự nhận biết thương hiệu và thu hút khách hàng tiềm năng?
A. Giai đoạn Nguồn cung
B. Giai đoạn Nhận thức  ✓
C. Giai đoạn Xem xét
D. Giai đoạn Mua</t>
  </si>
  <si>
    <t>Khi phỏng vấn ứng viên, bạn nhận thấy họ không thể giải thích rõ ràng về quá trình làm việc trước đó. Cách phản hồi phù hợp nhất là?
A. Hỏi thêm chi tiết để hiểu rõ hơn  ✓
B. Tạo một tình huống giả định và yêu cầu ứng viên mô tả
C. Tránh đề cập đến vấn đề này vì sợ gây ấn tượng không tốt
D. Yêu cầu ứng viên xem lại hồ sơ của mình</t>
  </si>
  <si>
    <t>Bạn nhận được email từ một ứng viên có ngữ cảnh và ngữ pháp không chính xác. Cách phản hồi hiệu quả nhất là?
A. Trả lời email với ngữ cảnh và ngữ pháp tương tự
B. Yêu cầu ứng viên gửi lại email sau khi chỉnh sửa  ✓
C. Trả lời email nhưng chỉ ra lỗi về ngữ cảnh và ngữ pháp
D. Không trả lời email để tránh gây ấn tượng không tốt</t>
  </si>
  <si>
    <t>Khi gặp phải sự cố trong quá trình giao tiếp với đồng nghiệp, bạn nên?
A. Tránh vấn đề bằng cách im lặng
B. Gọi điện thoại trực tiếp và nói chuyện thẳng thắn  ✓
C. Đưa ra lời khuyên từ xa mà không trao đổi trực tiếp
D. Yêu cầu quản lý can thiệp</t>
  </si>
  <si>
    <t>Trong một cuộc họp, bạn nhận thấy có sự hiểu lầm giữa các thành viên. Cách giải quyết tốt nhất là?
A. Từ chối tham gia vào cuộc tranh luận
B. Để mọi người tự giải quyết
C. Gợi ý cho mọi người thảo luận rõ ràng về vấn đề  ✓
D. Yêu cầu quản lý họp lại sau khi hiểu rõ vấn đề</t>
  </si>
  <si>
    <t>Ứng viên A nộp hồ sơ cho vị trí Chuyên viên Tuyển dụng với kinh nghiệm làm việc trong lĩnh vực nhân sự 2 năm. Trong mô tả công việc (JD), yêu cầu ứng viên phải có ít nhất 3 năm kinh nghiệm. Cách xử lý hợp lý là gì?
A. Từ chối hồ sơ vì không đáp ứng được yêu cầu
B. Yêu cầu ứng viên A cung cấp thêm thông tin về kinh nghiệm làm việc  ✓
C. Nhận hồ sơ và cho rằng kinh nghiệm của A tương đương với 3 năm
D. Gửi email cho A để xác nhận lại thông tin</t>
  </si>
  <si>
    <t>Ứng viên B có kỹ năng viết bài xã hội học nhưng không có kinh nghiệm trong ngành nhân sự. Trong JD, yêu cầu ứng viên phải có ít nhất một năm kinh nghiệm viết về nhân sự. Cách xử lý hợp lý là gì?
A. Từ chối hồ sơ vì không đáp ứng được yêu cầu  ✓
B. Yêu cầu B cung cấp thêm thông tin về kỹ năng viết bài xã hội học
C. Nhận hồ sơ và cho rằng kỹ năng viết của B có thể chuyển giao sang ngành nhân sự
D. Gửi email cho B để xác nhận lại thông tin</t>
  </si>
  <si>
    <t>Trong quy trình tuyển dụng, bước nào sau đây không phải là một phần của quá trình sàng lọc ứng viên?
A. Lập danh sách ứng viên
B. Thực hiện phỏng vấn sơ bộ
C. Đánh giá hồ sơ ứng viên
D. Gửi offer làm việc  ✓</t>
  </si>
  <si>
    <t>Khi lập kế hoạch tuyển dụng, yếu tố nào dưới đây không phải là một tiêu chí cần thiết?
A. Ngân sách tuyển dụng
B. Thời gian thực hiện
C. Số lượng ứng viên dự kiến
D. Màu sắc của logo công ty  ✓</t>
  </si>
  <si>
    <t>Trong quy trình phỏng vấn, mục đích chính của việc hỏi về kinh nghiệm làm việc trước đây là gì?
A. Kiểm tra kỹ năng chuyên môn  ✓
B. Xác minh thông tin hồ sơ
C. Đánh giá khả năng giao tiếp
D. Xem xét mức lương mong muốn</t>
  </si>
  <si>
    <t>Khi nhận thông tin về một vị trí tuyển dụng mới, bạn nên làm gì đầu tiên để thể hiện tinh thần cẩn thận và chủ động?
A. Chỉ lưu lại thông tin mà không hành động
B. Tư vấn cho đồng nghiệp trước khi bắt đầu công việc
C. Kiểm tra kỹ thông tin và lập kế hoạch triển khai ngay  ✓
D. Gửi email cho quản lý nhưng chưa thực hiện gì</t>
  </si>
  <si>
    <t>Khi khách hàng gọi điện với thắc mắc, nhân viên Chăm sóc Khách hàng nên làm gì đầu tiên?
A. Trả lời ngay lập tức mà không cần hiểu rõ vấn đề
B. Hỏi lại khách hàng để đảm bảo đã hiểu đúng vấn đề  ✓
C. Ghi chú lại và trả lời sau khi tìm hiểu kỹ
D. Chờ khách hàng tự giải quyết nếu có thể</t>
  </si>
  <si>
    <t>Trong trường hợp khách hàng không hài lòng với dịch vụ, nhân viên Chăm sóc Khách hàng nên làm gì?
A. Tỏ ra bất bình và tranh cãi
B. Xin lỗi và đề xuất giải pháp để cải thiện  ✓
C. Bảo rằng công ty sẽ không chịu trách nhiệm
D. Tránh tiếp xúc trực tiếp với khách hàng</t>
  </si>
  <si>
    <t>Khi giao tiếp qua email, nhân viên Chăm sóc Khách hàng nên làm gì để đảm bảo thông điệp được truyền đạt chính xác?
A. Gửi email nhanh chóng nhưng không kiểm tra kỹ  ✓
B. Viết rõ ràng và sử dụng ngôn ngữ chuyên môn
C. Sử dụng nhiều emoticon để thể hiện cảm xúc
D. Chỉ viết ngắn gọn vì khách hàng bận rộn</t>
  </si>
  <si>
    <t>Nhân viên Chăm sóc Khách hàng nên làm gì khi gặp phải tình huống không thể giải quyết?
A. Tự ý đưa ra quyết định
B. Tránh nói với khách hàng và giữ im lặng
C. Giao cho cấp trên hoặc bộ phận liên quan để xử lý  ✓
D. Hứa sẽ tự tìm cách giải quyết mà không thông báo</t>
  </si>
  <si>
    <t>Khi khách hàng gọi điện và nói họ không hài lòng với sản phẩm đã mua, nhân viên nên làm gì đầu tiên?
A. Tranh cãi với khách hàng về chất lượng sản phẩm
B. Hỏi rõ nguyên nhân và cảm thông cho khách hàng  ✓
C. Yêu cầu khách hàng gửi lại sản phẩm để kiểm tra
D. Gợi ý khách hàng nên mua sản phẩm khác</t>
  </si>
  <si>
    <t>Nếu một khách hàng gọi điện với nhiều câu hỏi phức tạp, nhân viên nên làm gì?
A. Tránh trả lời và chuyển sang nhân viên khác
B. Hãy kiên nhẫn lắng nghe và giải đáp từng câu hỏi  ✓
C. Gợi ý khách hàng tìm thông tin trên website
D. Yêu cầu khách hàng gửi email để có thể trả lời chi tiết hơn</t>
  </si>
  <si>
    <t>Khi khách hàng gọi điện với một vấn đề phức tạp, nhân viên nên làm gì để đảm bảo họ hiểu rõ vấn đề?
A. Trả lời nhanh chóng để kết thúc cuộc gọi
B. Hỏi lại khách hàng về thông tin chi tiết và ghi chú  ✓
C. Gợi ý khách hàng đến trung tâm dịch vụ khách hàng
D. Yêu cầu khách hàng đợi một chút vì nhân viên cần tìm hiểu thêm</t>
  </si>
  <si>
    <t>Khách hàng gọi điện phản ánh rằng họ đã thanh toán hóa đơn nhưng vẫn nhận được thông báo thiếu tiền. Làm gì là bước đầu tiên bạn nên thực hiện?
A. Gọi lại khách hàng để xác nhận thông tin
B. Kiểm tra lại hệ thống và tìm kiếm giao dịch của khách hàng  ✓
C. Hứa với khách hàng sẽ giải quyết ngay lập tức
D. Tư vấn khách hàng sử dụng phương thức thanh toán khác</t>
  </si>
  <si>
    <t>Khách hàng đến cửa hàng phàn nàn về chất lượng sản phẩm và yêu cầu hoàn tiền. Bạn nên làm gì đầu tiên?
A. Hỏi rõ nguyên nhân và lý do của khách hàng  ✓
B. Tư vấn khách hàng sử dụng sản phẩm theo hướng dẫn
C. Yêu cầu khách hàng mang lại sản phẩm để kiểm tra
D. Trả lời khách hàng rằng không thể hoàn tiền</t>
  </si>
  <si>
    <t>Khi một khách hàng gọi điện với nhiều thắc mắc phức tạp, bạn cần dành bao lâu để giải quyết vấn đề của họ mà không bị gián đoạn?
A. 10 phút
B. 30 phút
C. 1 giờ
D. Không giới hạn thời gian  ✓</t>
  </si>
  <si>
    <t>Khi một dự án lớn bị chia thành nhiều giai đoạn nhỏ hơn để quản lý, quy trình này gọi là gì?
A. Phân tích phạm vi
B. Chia nhỏ phạm vi
C. Phân giải phạm vi  ✓
D. Phân tách phạm vi</t>
  </si>
  <si>
    <t>Trong quản lý dự án, công cụ nào được sử dụng để xác định và kiểm soát các thay đổi trong phạm vi dự án?
A. Plan-Do-Check-Act (PDCA)
B. Phân tích SWOT
C. Quản lý rủi ro
D. Quản lý thay đổi  ✓</t>
  </si>
  <si>
    <t>Khi quản lý một dự án với nhiều công việc song hành, bạn phát hiện rằng có một số công việc phụ thuộc vào nhau. Công cụ nào sau đây sẽ giúp bạn tổ chức và theo dõi các mối quan hệ này hiệu quả nhất?
A. Gantt Chart  ✓
B. Trello
C. MS Word
D. Excel</t>
  </si>
  <si>
    <t>Trong quá trình quản lý dự án, bạn nhận thấy rằng một số thành viên trong đội không tuân thủ lịch trình đã được lên kế hoạch. Phương pháp nào sau đây sẽ giúp cải thiện tình hình này?
A. Tăng cường giám sát
B. Thay đổi lịch trình
C. Giao thêm công việc cho họ
D. Đào tạo kỹ năng quản lý thời gian  ✓</t>
  </si>
  <si>
    <t>Trong quản lý chi phí dự án, nếu phát hiện một khoản chi phí không hợp lệ nhưng đã được thanh toán, biện pháp nào sau đây là phù hợp nhất để xử lý?
A. Từ chối thanh toán và yêu cầu hoàn tiền
B. Ghi nhận vào tài khoản riêng chờ quyết định
C. Thực hiện giao dịch đảo ngược và điều chỉnh  ✓
D. Để qua không xử lý</t>
  </si>
  <si>
    <t>Trong một dự án xây dựng, nếu phát hiện ra rằng việc sử dụng vật liệu không đạt chuẩn có thể gây nguy hiểm cho công trình, quản lý dự án nên thực hiện bước nào đầu tiên?
A. Tiếp tục giám sát và hy vọng vấn đề sẽ tự giải quyết
B. Tổ chức cuộc họp khẩn cấp với đội ngũ kỹ thuật để thảo luận về các biện pháp khắc phục  ✓
C. Gửi thông báo cho khách hàng rằng chất lượng công trình có thể bị ảnh hưởng
D. Thay đổi kế hoạch dự án để loại bỏ hạng mục sử dụng vật liệu không đạt chuẩn</t>
  </si>
  <si>
    <t>Khi một thay đổi lớn trong dự án được đề xuất, quản lý dự án cần thực hiện bước nào đầu tiên?
A. Thực hiện ngay thay đổi để đảm bảo tiến độ
B. Thông báo cho khách hàng về việc thay đổi này
C. Đánh giá tác động của thay đổi và xác định kế hoạch hành động  ✓
D. Tư vấn cho đội ngũ kỹ thuật thực hiện thay đổi</t>
  </si>
  <si>
    <t>Khi giao tiếp với các stakeholder, quản lý dự án nên sử dụng phương pháp nào để đảm bảo thông tin được truyền đạt một cách rõ ràng và chính xác?
A. Gửi email nội bộ không có tiêu đề
B. Sử dụng ngôn ngữ chuyên môn phức tạp
C. Tạo ra báo cáo dài dòng với nhiều chi tiết
D. Lập kế hoạch giao tiếp và sử dụng các phương tiện phù hợp  ✓</t>
  </si>
  <si>
    <t>Trong một dự án, stakeholder yêu cầu thay đổi thiết kế. Quản lý dự án nên làm gì đầu tiên?
A. Từ chối thay đổi vì nó không nằm trong phạm vi ban đầu
B. Thực hiện thay đổi ngay lập tức để đáp ứng yêu cầu
C. Ghi nhận yêu cầu và đánh giá tác động của nó lên dự án  ✓
D. Trả lời stakeholder rằng bạn sẽ xem xét sau</t>
  </si>
  <si>
    <t>Kỹ năng nào dưới đây không phải là một phần quan trọng trong việc lãnh đạo và giao tiếp với các stakeholder?
A. Năng lực kỹ thuật chuyên môn  ✓
B. Kỹ năng lắng nghe
C. Kỹ năng giải quyết xung đột
D. Kỹ năng xây dựng mối quan hệ</t>
  </si>
  <si>
    <t>Trong truy vấn SQL, nếu bạn muốn kết hợp dữ liệu từ hai bảng Customers và Orders dựa trên cột CustomerId mà vẫn giữ được hiệu suất cao, phương án nào sau đây là tốt nhất?
A. JOIN không sử dụng chỉ mục
B. INNER JOIN với chỉ mục trên cột CustomerId  ✓
C. FULL OUTER JOIN
D. LEFT JOIN</t>
  </si>
  <si>
    <t>Nếu bạn cần lấy tất cả các khách hàng từ bảng Customers và chỉ những đơn đặt hàng có trạng thái 'Đã thanh toán' từ bảng Orders, phương án nào sau đây là đúng?
A. LEFT JOIN
B. RIGHT JOIN
C. INNER JOIN
D. LEFT OUTER JOIN  ✓</t>
  </si>
  <si>
    <t>Doanh nghiệp bán hàng hóa trị giá 30 triệu cho khách hàng nhưng chưa nhận tiền. Bút toán ghi nhận đúng là gì?
A. Nợ Hàng hóa / Có Tiền mặt
B. Nợ Doanh thu / Có Hàng hóa  ✓
C. Nợ Hàng hóa / Có Doanh thu
D. Nợ Tiền mặt / Có Hàng hóa</t>
  </si>
  <si>
    <t>Khi giao tiếp với khách hàng, bạn nhận thấy họ không hiểu rõ thông tin doanh nghiệp cung cấp. Cách tốt nhất để cải thiện là gì?
A. Yêu cầu khách hàng xác nhận lại yêu cầu
B. Giảm tốc độ nói và giải thích kỹ hơn  ✓
C. Sử dụng nhiều từ chuyên ngành để thể hiện kiến thức
D. Gửi email thay vì gọi điện thoại</t>
  </si>
  <si>
    <t>Trong một cuộc họp, bạn phát hiện có sự hiểu lầm giữa các thành viên về mục tiêu dự án. Cách xử lý hiệu quả nhất là gì?
A. Từ chối thảo luận thêm để tránh mất thời gian
B. Yêu cầu mỗi người viết lại mục tiêu của mình
C. Ghi rõ mục tiêu vào văn bản và gửi cho mọi người  ✓
D. Để mọi người tự giải quyết</t>
  </si>
  <si>
    <t>Khi gặp phải một vấn đề không thường gặp trong công việc hàng ngày, bạn nên làm gì để đảm bảo thông tin được truyền đạt chính xác?
A. Giải quyết vấn đề nhanh chóng và sau đó giải thích
B. Gửi email cho tất cả mọi người về vấn đề này
C. Tìm hiểu kỹ lưỡng trước khi thảo luận với đồng nghiệp  ✓
D. Tránh nói về vấn đề để không làm phiền mọi người</t>
  </si>
  <si>
    <t>Bạn nhận được phản hồi từ khách hàng rằng họ không hài lòng với dịch vụ. Cách tiếp cận tốt nhất là gì?
A. Phản hồi lại rằng bạn đã cố gắng hết sức
B. Tránh thảo luận về vấn đề để tránh căng thẳng
C. Xác định nguyên nhân và đưa ra giải pháp cụ thể  ✓
D. Hỏi khách hàng rằng họ không muốn sử dụng dịch vụ nữa</t>
  </si>
  <si>
    <t>Khi tạo một bảng trong Excel để theo dõi doanh thu hàng ngày, bạn muốn tự động tính tổng doanh thu cuối cùng của bảng. Cách nào sau đây sẽ giúp bạn thực hiện điều này?
A. Chèn công thức SUM ở dưới cùng của bảng
B. Sử dụng công cụ Tổng hợp dữ liệu
C. Tạo một biểu đồ từ dữ liệu
D. Thêm một cột mới và sử dụng công thức SUM  ✓</t>
  </si>
  <si>
    <t>Trong Word, bạn cần chèn một hình ảnh vào trang và điều chỉnh kích thước sao cho nó vừa khít với một phần cụ thể của văn bản. Cách nào sau đây sẽ giúp bạn thực hiện?
A. Chọn hình ảnh rồi kéo góc để thay đổi kích thước
B. Đặt hình ảnh lên trang, chọn 'Kích thước phù hợp'
C. Sử dụng công cụ 'Thiết kế trang'
D. Nhấn chuột phải vào hình ảnh và chọn 'Cài đặt hình ảnh'  ✓</t>
  </si>
  <si>
    <t>Bạn đang sử dụng PowerPoint để trình bày một dự án. Bạn muốn thêm một biểu đồ từ dữ liệu đã có trong Excel vào trang trình bày. Cách nào sau đây sẽ giúp bạn thực hiện?
A. Chèn hình ảnh từ Excel
B. Sử dụng công cụ 'Thiết kế trang'
C. Nhấn chuột phải vào trang và chọn 'Chèn đồ họa từ Excel'  ✓
D. Tạo biểu đồ mới trong PowerPoint</t>
  </si>
  <si>
    <t>Khi một khách hàng đặt lịch hẹn vào giờ cao điểm, bạn cần làm gì để đảm bảo lịch trình không bị xung đột?
A. Tự động chuyển lịch hẹn sang thời gian trống  ✓
B. Gửi email nhắc nhở khách hàng về lịch hẹn
C. Yêu cầu khách hàng chọn lại thời gian
D. Tạo một lịch dự phòng cho khách hàng</t>
  </si>
  <si>
    <t>Trong trường hợp khách hàng không thể tham gia vào lịch hẹn đã đặt, bạn nên xử lý như thế nào?
A. Hủy lịch hẹn và không thông báo lại
B. Gửi email cho khách hàng về việc hủy lịch hẹn
C. Tự động chuyển lịch hẹn sang người khác
D. Yêu cầu khách hàng chọn lại thời gian  ✓</t>
  </si>
  <si>
    <t>Bạn đang phát triển một ứng dụng quản lý thư viện. Bạn cần tạo một lớp `Sach` (Sách) để lưu thông tin sách, trong đó có các thuộc tính như `MaSach`, `TenSach`, `TacGia`. Để đảm bảo `MaSach` luôn duy nhất, bạn nên sử dụng phương thức nào sau đây?
A. Tạo một phương thức `SetMaSach()` để gán giá trị cho `MaSach`
B. Thêm thuộc tính `MaSach` làm thuộc tính chỉ đọc (`readonly`) và khởi tạo trong constructor  ✓
C. Thêm phương thức `GetMaSach()` để trả về giá trị của `MaSach`
D. Tạo một phương thức `CheckMaSachUniqueness()` để kiểm tra sự duy nhất của `MaSach`</t>
  </si>
  <si>
    <t>Bạn đang thiết kế lớp `NhanVien` và muốn đảm bảo rằng mỗi nhân viên chỉ có một địa chỉ email duy nhất. Bạn nên sử dụng thuộc tính nào sau đây để thực hiện điều này?
A. Tạo một phương thức `SetEmail()` để gán giá trị cho `Email`
B. Thêm thuộc tính `Email` làm thuộc tính chỉ đọc (`readonly`) và khởi tạo trong constructor  ✓
C. Thêm phương thức `GetEmail()` để trả về giá trị của `Email`
D. Tạo một phương thức `CheckEmailUniqueness()` để kiểm tra sự duy nhất của `Email`</t>
  </si>
  <si>
    <t>Bạn cần lấy danh sách các sản phẩm có giá bán trên 100.000 VND từ bảng Products, nhưng chỉ muốn hiển thị tên và giá của chúng. Cách viết LINQ đúng là gì?
A. var result = from p in Products where p.Price &gt; 100000 select new { Name, Price };
B. var result = from p in Products where p.Price &lt; 100000 select new { p.Name, p.Price };
C. var result = from p in Products where p.Price &gt; 100000 select p;
D. var result = from p in Products where p.Price &gt; 100000 select new { p.Name, p.Price };  ✓</t>
  </si>
  <si>
    <t>Một ứng dụng RESTful API của bạn nhận được nhiều yêu cầu GET từ một client không tin cậy, dẫn đến việc sử dụng quá nhiều tài nguyên. Cách tốt nhất để giải quyết vấn đề này là gì?
A. Tăng số lượng CPU trên máy chủ
B. Thêm index vào đường dẫn API
C. Thiết lập giới hạn rate cho các request GET  ✓
D. Chuyển đổi tất cả các phương thức HTTP sang POST</t>
  </si>
  <si>
    <t>Bạn nhận được yêu cầu từ một client muốn cập nhật thông tin của một sản phẩm trong hệ thống. Sản phẩm này có nhiều thuộc tính, nhưng chỉ cần cập nhật giá và tên. Cách tốt nhất để thực hiện yêu cầu này là gì?
A. Sử dụng phương thức PUT với tất cả các thuộc tính
B. Sử dụng phương thức POST với toàn bộ thông tin sản phẩm
C. Sử dụng phương thức PATCH với chỉ những thuộc tính cần thay đổi  ✓
D. Sử dụng phương thức DELETE sau đó INSERT mới</t>
  </si>
  <si>
    <t>Có hai bảng Orders và OrderDetails. Bảng Orders chứa thông tin đơn hàng, trong khi OrderDetails lưu chi tiết từng sản phẩm trong mỗi đơn hàng. Bạn cần lấy ra danh sách các đơn hàng cùng với tổng số lượng của từng sản phẩm. Cách viết truy vấn SQL đúng là gì?
A. SELECT o.OrderId, SUM(od.Quantity) FROM Orders o JOIN OrderDetails od ON o.OrderId = od.OrderId GROUP BY o.OrderId  ✓
B. SELECT o.OrderId, od.ProductId, SUM(od.Quantity) FROM Orders o JOIN OrderDetails od ON o.OrderId = od.OrderId GROUP BY o.OrderId, od.ProductId
C. SELECT o.OrderId, SUM(od.Quantity) FROM Orders o JOIN OrderDetails od ON o.OrderId = od.OrderId GROUP BY o.OrderId, od.ProductId
D. SELECT o.OrderId, od.ProductId, SUM(od.Quantity) FROM Orders o JOIN OrderDetails od ON o.OrderId = od.OrderId GROUP BY o.OrderId</t>
  </si>
  <si>
    <t>Bảng Employees và Departments có mối quan hệ một-đa. Bạn cần lấy ra danh sách các bộ phận cùng với số lượng nhân viên trong mỗi bộ phận. Cách viết truy vấn SQL đúng là gì?
A. SELECT d.DepartmentName, COUNT(e.EmployeeId) FROM Employees e JOIN Departments d ON e.DepartmentId = d.DepartmentId GROUP BY d.DepartmentName  ✓
B. SELECT d.DepartmentName, COUNT(e.EmployeeId) FROM Employees e JOIN Departments d ON e.DepartmentId = d.DepartmentId GROUP BY e.EmployeeId
C. SELECT d.DepartmentName, COUNT(*) FROM Employees e JOIN Departments d ON e.DepartmentId = d.DepartmentId GROUP BY d.DepartmentName, e.EmployeeId
D. SELECT d.DepartmentName, COUNT(e.EmployeeId) FROM Employees e JOIN Departments d ON e.DepartmentId = d.DepartmentId GROUP BY e.DepartmentId</t>
  </si>
  <si>
    <t>Bảng Products và Suppliers có mối quan hệ nhiều-nhiều. Bạn cần lấy ra danh sách các sản phẩm cùng với tên nhà cung cấp của chúng. Cách viết truy vấn SQL đúng là gì?
A. SELECT p.ProductName, s.SupplierName FROM Products p JOIN Suppliers s ON p.SupplierId = s.SupplierId  ✓
B. SELECT p.ProductName, s.SupplierName FROM Products p JOIN Suppliers s ON p.SupplierId = s.SupplierId WHERE p.SupplierId IS NOT NULL
C. SELECT p.ProductName, s.SupplierName FROM Products p LEFT JOIN Suppliers s ON p.SupplierId = s.SupplierId
D. SELECT p.ProductName, s.SupplierName FROM Products p RIGHT JOIN Suppliers s ON p.SupplierId = s.SupplierId</t>
  </si>
  <si>
    <t>Khi sử dụng Entity Framework Core để thực hiện truy vấn, bạn nhận thấy rằng việc lặp qua một danh sách lớn của đối tượng gây ra hiệu suất kém. Cách tiếp cận tốt nhất để cải thiện hiệu suất là gì?
A. Sử dụng Include() để tải các bảng liên kết
B. Tăng kích thước bộ đệm trong DbContext
C. Thay đổi phương thức Linq thành SQL
D. Thêm chỉ mục cho các cột được sử dụng trong điều kiện WHERE  ✓</t>
  </si>
  <si>
    <t>Bạn cần tạo một quan hệ 1:N giữa bảng Orders và OrderDetails. Cách thực hiện đúng là gì?
A. Tạo một thuộc tính virtual OrderDetails[] trong class Order
B. Thêm một thuộc tính virtual ICollection&lt;Order&gt; trong class OrderDetails
C. Thêm một thuộc tính virtual Order trong class OrderDetails
D. Sử dụng Fluent API để cấu hình quan hệ 1:N  ✓</t>
  </si>
  <si>
    <t>Một ứng dụng microservices của bạn đang gặp vấn đề về độ trễ khi gửi thông báo qua dịch vụ tin nhắn SMS. Dịch vụ này thường mất khoảng 1-2 giây để phản hồi, nhưng đôi khi có thể lên đến 30 giây. Cách tiếp cận tốt nhất để giải quyết vấn đề này là gì?
A. Tăng thời gian chờ đợi trong hàm gửi tin nhắn SMS
B. Sử dụng retry mechanism với độ trễ tăng dần
C. Thay đổi dịch vụ SMS thành một microservice độc lập và sử dụng queueing system  ✓
D. Giảm số lượng yêu cầu gửi SMS đồng thời</t>
  </si>
  <si>
    <t>Bạn nhận thấy rằng một microservice thường xuyên gặp lỗi khi xử lý các yêu cầu lớn từ dịch vụ API gateway. Điều này dẫn đến việc tăng độ trễ và giảm hiệu suất của hệ thống. Cách tiếp cận tốt nhất để giải quyết vấn đề này là gì?
A. Tăng số lượng instance của microservice  ✓
B. Giảm kích thước của các yêu cầu lớn từ API gateway
C. Sử dụng load balancer để phân tán tải lên nhiều instance
D. Thay đổi microservice thành một batch processing task</t>
  </si>
  <si>
    <t>Khi triển khai ứng dụng .NET Framework trên môi trường sản xuất, bạn phát hiện rằng ứng dụng chạy chậm và sử dụng nhiều bộ nhớ hơn mong đợi. Cách tiếp cận hiệu quả nhất để cải thiện tình hình là gì?
A. Tăng cường xử lý trong mã bằng cách tối ưu hóa vòng lặp và hàm
B. Thay đổi cấu hình garbage collection của .NET Framework
C. Đổi từ .NET Framework sang .NET Core hoặc .NET 5+ để tận dụng hiệu năng tốt hơn  ✓
D. Kiểm tra và tối ưu hóa các dependency injection trong ứng dụng</t>
  </si>
  <si>
    <t>Khi thực hiện truy vấn lấy danh sách sản phẩm theo loại và sắp xếp theo giá, bạn nhận thấy hiệu suất thấp. Cách tối ưu hiệu quả nhất là gì?
A. Tạo index trên cột Loại và Giá
B. Thêm chỉ mục compound trên cột Loại và Giá  ✓
C. Đổi SELECT * thành SELECT cột cụ thể
D. Chạy truy vấn vào ban đêm</t>
  </si>
  <si>
    <t>Trong một ứng dụng, bạn phát hiện rằng mỗi khi hiển thị danh sách đơn hàng của khách hàng, hệ thống thực hiện nhiều truy vấn SQL riêng biệt cho mỗi đơn hàng. Cách nào sau đây sẽ giúp tránh N+1 query?
A. Tạo index trên cột Khách hàng
B. Sử dụng eager loading hoặc include để tải dữ liệu liên kết cùng lúc  ✓
C. Đổi SELECT * thành SELECT cột cụ thể
D. Chạy truy vấn vào ban đêm</t>
  </si>
  <si>
    <t>Khi thực hiện truy vấn lấy tổng doanh thu theo tháng, bạn nhận thấy execution plan sử dụng cả clustered và non-clustered index. Cách tối ưu hiệu quả nhất là gì?
A. Tạo thêm một index non-clustered trên cột tháng
B. Loại bỏ clustered index
C. Sử dụng hint query để chỉ định index cụ thể  ✓
D. Đổi SELECT * thành SELECT cột cụ thể</t>
  </si>
  <si>
    <t>Một API đang xử lý yêu cầu GET /users?role=admin&amp;status=active. Bạn nhận thấy có thể xảy ra truy vấn SQL không cần thiết. Cách cải thiện hiệu suất tốt nhất là gì?
A. Thêm index trên cột role và status trong bảng users
B. Sử dụng caching cho kết quả API này
C. Đổi từ GET sang POST để tăng độ bảo mật
D. Tạo một phương thức riêng biệt /users/admin-active để tránh truy vấn SQL không cần thiết  ✓</t>
  </si>
  <si>
    <t>Một ứng dụng .NET đang sử dụng Entity Framework Core. Khi thực hiện nhiều lần truy vấn, bạn nhận thấy hiệu suất giảm đáng kể. Cách cải thiện hiệu suất tốt nhất là gì?
A. Tăng số lượng thread trong pool database connection
B. Sử dụng lazy loading thay vì eager loading
C. Đổi Entity Framework Core sang Entity Framework 6
D. Thực hiện batch query để giảm số lần truy vấn đến cơ sở dữ liệu  ✓</t>
  </si>
  <si>
    <t>Khi triển khai ứng dụng CQRS và Repository pattern, bạn nhận thấy các thao tác đọc dữ liệu từ database chậm hơn so với mong đợi. Cách tiếp cận nào sau đây sẽ hiệu quả nhất để cải thiện vấn đề này?
A. Tăng số lượng thread trong pool của Entity Framework
B. Sử dụng caching tại layer Repository trước khi truy cập database  ✓
C. Thay đổi từ Entity Framework Core sang ADO.NET
D. Tối ưu hóa cấu trúc cây thư mục nơi lưu trữ các service xử lý CQRS</t>
  </si>
  <si>
    <t>Xử lý concurrency</t>
  </si>
  <si>
    <t>Khi ứng dụng .NET của bạn xử lý nhiều yêu cầu đồng thời từ các khách hàng, bạn phát hiện ra rằng một số phương thức không thread-safe và gây ra lỗi. Cách tốt nhất để giải quyết vấn đề này là gì?
A. Tăng số luồng trong Application Pool
B. Sử dụng `lock` statement hoặc `Mutex` để bảo vệ các phương thức không thread-safe  ✓
C. Thay đổi thiết kế API thành asynchronous và sử dụng `async/await`
D. Chuyển toàn bộ ứng dụng sang .NET Core</t>
  </si>
  <si>
    <t>Khi render một component React với nhiều props và state, bạn nhận thấy hiệu suất giảm đáng kể. Cách tối ưu hiệu quả nhất là gì?
A. Sử dụng shouldComponentUpdate để kiểm soát việc re-render  ✓
B. Tăng số lượng CPU trên máy chủ
C. Đổi từ useState thành useReducer
D. Loại bỏ tất cả các props và state không cần thiết</t>
  </si>
  <si>
    <t>Một component React của bạn đang được render nhiều lần trong vòng lặp for, dẫn đến hiệu suất kém. Cách tối ưu nào sau đây sẽ giúp cải thiện?
A. Tăng số lượng CPU trên máy chủ
B. Sử dụng key unique cho mỗi item trong vòng lặp  ✓
C. Loại bỏ tất cả các props và state không cần thiết
D. Đổi từ useState thành useReducer</t>
  </si>
  <si>
    <t>Khi viết test cho một component React sử dụng useState hook để quản lý state, bạn cần kiểm tra xem state có được cập nhật đúng không. Cách nào sau đây là cách hiệu quả nhất để thực hiện?
A. Sử dụng `fireEvent.change` để giả lập sự kiện thay đổi và kiểm tra state sau đó
B. Sử dụng `act` từ React Testing Library để đảm bảo component được render trong một giao diện giả lập trước khi kiểm tra state  ✓
C. Đặt state ban đầu và sử dụng `expect` để kiểm tra state không thay đổi
D. Thêm một hàm console.log(state) vào component để in ra state sau mỗi lần cập nhật</t>
  </si>
  <si>
    <t>Khi xây dựng một component trong React, bạn nhận thấy rằng component này cần được sử dụng ở nhiều nơi khác nhau trên trang web. Để tối ưu hóa code và đảm bảo tính tái sử dụng, bạn nên làm gì tiếp theo?
A. Tạo một state riêng để quản lý dữ liệu của component
B. Chuyển đổi component thành một function component bình thường
C. Sử dụng hooks như useState hoặc useContext để chia sẻ state giữa các component
D. Đưa component vào thư viện riêng và sử dụng import ở mọi nơi cần thiết  ✓</t>
  </si>
  <si>
    <t>Khi ứng dụng React của bạn cần quản lý state cho một component con sâu 3 cấp, bạn nên sử dụng Redux hay Context API?
A. Redux
B. Context API  ✓
C. useState
D. useReducer</t>
  </si>
  <si>
    <t>Trong quá trình chuyển đổi từ Context API sang Redux, ứng dụng của bạn gặp vấn đề về hiệu suất do việc dispatch action quá nhiều lần. Cách giải quyết tốt nhất là gì?
A. Tăng số lượng action
B. Giảm số lượng component sử dụng context
C. Sử dụng memoization trong hooks
D. Tối ưu hóa action creator và reducer  ✓</t>
  </si>
  <si>
    <t>Khi tích hợp một REST API vào ứng dụng React, bạn nhận thấy rằng việc tải dữ liệu từ API làm chậm giao diện. Cách tiếp cận tốt nhất để cải thiện vấn đề này là gì?
A. Tăng thời gian chờ trong hàm useEffect
B. Sử dụngSuspense và ErrorBoundary để quản lý loading và error  ✓
C. Đóng gói tất cả các request API vào một component duy nhất
D. Thay đổi phương thức fetch thành axios</t>
  </si>
  <si>
    <t>Khi ứng dụng React của bạn cập nhật một state và render lại giao diện, virtual DOM sẽ làm gì để tối ưu hóa quá trình này?
A. Tạo ra một bản sao hoàn toàn mới của DOM gốc
B. So sánh các thay đổi giữa DOM hiện tại và DOM dự kiến, chỉ update những phần cần thiết  ✓
C. Xóa bỏ tất cả các node trong DOM và rebuild lại từ đầu
D. Gửi yêu cầu render đầy đủ đến server để nhận về một phiên bản mới của giao diện</t>
  </si>
  <si>
    <t>Khi ứng dụng React của bạn gặp vấn đề với hiệu năng khi hiển thị nhiều component cùng lúc, bạn nhận thấy việc render lại toàn bộ component không cần thiết. Cách tối ưu nào sau đây sẽ giúp cải thiện hiệu suất?
A. Tăng số lượng component được render
B. Sử dụng lifecycle method để giảm thời gian render
C. Thay đổi state của component để tăng tần suất render
D. Sử dụng React.memo hoặc useMemo để tránh re-render không cần thiết  ✓</t>
  </si>
  <si>
    <t>Trong quá trình phát triển, bạn nhận thấy rằng việc sử dụng nhiều hiệu ứng CSS như animate.css làm chậm tốc độ tải trang. Cách nào sau đây sẽ giúp cải thiện vấn đề này?
A. Tăng số lượng hiệu ứng CSS
B. Sử dụng inline style thay vì class từ thư viện animate.css
C. Giảm số lượng hiệu ứng CSS được sử dụng  ✓
D. Thay đổi màu sắc của hiệu ứng</t>
  </si>
  <si>
    <t>Có bảng Orders và Products. Bạn cần tính tổng giá trị đơn hàng (Quantity * UnitPrice) cho mỗi CustomerId, nhưng gặp vấn đề hiệu suất khi truy vấn. Cách tốt nhất để cải thiện là gì?
A. Tạo index trên cột Quantity và UnitPrice  ✓
B. Thêm RAM cho máy chủ
C. Đưa bảng Products vào trong JOIN thay vì sử dụng INNER JOIN
D. Chạy truy vấn vào ban đêm</t>
  </si>
  <si>
    <t>Bạn cần tìm ra các sản phẩm được bán nhiều nhất trong tháng vừa qua. Trong quá trình viết truy vấn, bạn gặp phải vấn đề về hiệu suất. Cách tối ưu hóa hiệu quả nhất là gì?
A. Tạo index trên cột Date và ProductId  ✓
B. Thêm RAM cho máy chủ
C. Đưa bảng Orders vào trong JOIN thay vì sử dụng INNER JOIN
D. Chạy truy vấn vào ban đêm</t>
  </si>
  <si>
    <t>Bạn cần tìm ra các khách hàng đã mua sản phẩm từ nhiều nhà cung cấp khác nhau. Trong quá trình viết truy vấn, bạn gặp phải vấn đề về hiệu suất. Cách tối ưu hóa hiệu quả nhất là gì?
A. Tạo index trên cột CustomerId và ProductId  ✓
B. Thêm RAM cho máy chủ
C. Đưa bảng Products vào trong JOIN thay vì sử dụng INNER JOIN
D. Chạy truy vấn vào ban đêm</t>
  </si>
  <si>
    <t>Có bảng Sales với cột OrderID, ProductName và TotalPrice. Bạn cần tính tổng doanh thu theo từng sản phẩm và hiển thị top 5 sản phẩm có doanh thu cao nhất. Cách thực hiện đúng là gì?
A. Sử dụng GROUP BY ProductName và ORDER BY SUM(TotalPrice) DESC LIMIT 5  ✓
B. Sử dụng WINDOW FUNCTION ROW_NUMBER() OVER (ORDER BY TotalPrice DESC) và LIMIT 5
C. Sử dụng WINDOW FUNCTION RANK() OVER (ORDER BY SUM(TotalPrice) DESC) và LIMIT 5
D. Sử dụng GROUP BY ProductName, sau đó sử dụng ORDER BY COUNT(OrderID) DESC LIMIT 5</t>
  </si>
  <si>
    <t>Bảng Employees có cột EmployeeID, DepartmentId và Salary. Bạn cần tính tổng lương của mỗi bộ phận và hiển thị tên bộ phận cùng với tổng lương. Cách thực hiện đúng là gì?
A. Sử dụng GROUP BY DepartmentId, sau đó SELECT DepartmentName, SUM(Salary) FROM Employees GROUP BY DepartmentId
B. Sử dụng WINDOW FUNCTION SUM() OVER (PARTITION BY DepartmentId) và SELECT DepartmentName, SUM(Salary) AS TotalSalary FROM Employees
C. Sử dụng WINDOW FUNCTION ROLLUP() OVER (DepartmentId) và SELECT DepartmentName, SUM(Salary) AS TotalSalary FROM Employees
D. Sử dụng GROUP BY DepartmentId, sau đó SELECT DepartmentName, SUM(Salary) FROM Employees GROUP BY DepartmentId  ✓</t>
  </si>
  <si>
    <t>Công ty của bạn cần thống kê tổng số đơn hàng đã giao cho mỗi khách hàng trong tháng vừa qua. Bạn muốn sử dụng CTE để cải thiện hiệu suất truy vấn. Cách viết đúng là gì?
A. WITH OrdersCTE AS (SELECT CustomerId, COUNT(*) as TotalOrders FROM Orders WHERE OrderDate &gt;= '2023-10-01' GROUP BY CustomerId) SELECT * FROM OrdersCTE
B. WITH OrdersCTE AS (SELECT CustomerId, COUNT(*) as TotalOrders FROM Orders WHERE OrderDate BETWEEN '2023-10-01' AND '2023-10-31') SELECT * FROM OrdersCTE  ✓
C. WITH OrdersCTE AS (SELECT CustomerId, COUNT(*) as TotalOrders FROM Orders) SELECT * FROM OrdersCTE WHERE OrderDate &gt;= '2023-10-01'
D. WITH OrdersCTE AS (SELECT CustomerId, COUNT(*) as TotalOrders FROM Orders WHERE OrderDate = '2023-10-01') SELECT * FROM OrdersCTE</t>
  </si>
  <si>
    <t>Khi xử lý một tập dữ liệu lớn với nhiều cột, bạn phát hiện rằng việc truy vấn SQL đang chạy rất chậm. Cách tiếp cận hiệu quả nhất để cải thiện tốc độ truy vấn là gì?
A. Tạo chỉ mục (index) trên các cột thường được sử dụng trong điều kiện WHERE  ✓
B. Chuyển đổi toàn bộ dữ liệu sang định dạng JSON
C. Giảm số lượng dòng dữ liệu bằng cách xóa những hàng không cần thiết
D. Tăng thời gian chờ đợi của truy vấn</t>
  </si>
  <si>
    <t>Bạn đang làm việc với một tập dữ liệu lớn và phát hiện có nhiều giá trị NaN trong cột 'Age'. Để xử lý các giá trị này, bạn nên thực hiện điều gì?
A. Xóa tất cả các dòng chứa giá trị NaN
B. Thay thế NaN bằng trung bình của cột 'Age'  ✓
C. Để NaN như là nó đang tồn tại
D. Tạo một cột mới chỉ chứa thông tin về NaN</t>
  </si>
  <si>
    <t>Bạn cần tạo một biểu đồ để thể hiện mối quan hệ giữa doanh thu và chi phí trong các tháng. Trong Python, thư viện nào sẽ giúp bạn thực hiện điều này?
A. Matplotlib  ✓
B. NumPy
C. Pandas
D. Scikit-learn</t>
  </si>
  <si>
    <t>Một ứng dụng sử dụng Spark để xử lý dữ liệu lớn từ nhiều nguồn khác nhau. Tuy nhiên, bạn nhận thấy rằng quá trình đọc dữ liệu từ HDFS chậm và chiếm nhiều thời gian CPU. Cách tiếp cận hiệu quả nhất để cải thiện tình hình này là gì?
A. Tăng số worker trong Spark Cluster
B. Thay đổi phương thức đọc dữ liệu từ `textFile` sang `wholeTextFiles`
C. Sử dụng `coalesce` hoặc `repartition` để giảm số partition trước khi đọc
D. Kiểm tra và tối ưu hóa cấu hình HDFS, ví dụ tăng block size  ✓</t>
  </si>
  <si>
    <t>Doanh nghiệp bán hàng với giá trị 50 triệu đồng nhưng khách hàng thanh toán sau 3 tháng. Bút toán ghi nhận khi bán hàng và khi nhận tiền đúng là gì?
A. Nợ Hàng hóa / Có Doanh thu, Nợ Tiền mặt / Có Doanh thu
B. Nợ Doanh thu / Có Hàng hóa, Nợ Tiền mặt / Có Doanh thu
C. Nợ Doanh thu / Có Hàng hóa, Nợ Tiền gửi / Có Doanh thu
D. Nợ Hàng hóa / Có Doanh thu, Nợ Tiền gửi / Có Doanh thu  ✓</t>
  </si>
  <si>
    <t>Doanh nghiệp mua hàng hóa trị giá 150 triệu đồng nhưng chưa thanh toán cho nhà cung cấp. Bút toán ghi nhận đúng là gì?
A. Nợ Hàng hóa / Có Phải trả người bán, Nợ Tiền mặt / Có Phải trả người bán
B. Nợ Phải trả người mua / Có Hàng hóa, Nợ Tiền mặt / Có Phải trả người bán
C. Nợ Hàng hóa / Có Phải trả người bán, Nợ Tiền gửi / Có Phải trả người bán
D. Nợ Phải trả người bán / Có Hàng hóa, Nợ Tiền mặt / Có Phải trả người bán  ✓</t>
  </si>
  <si>
    <t>Doanh nghiệp bán hàng với khách hàng trên tín dụng và nhận tiền sau 30 ngày. Khi lập báo cáo tài chính, doanh thu đã phát sinh nhưng chưa nhận tiền mặt. Bút toán ghi nhận đúng là gì?
A. Nợ Hàng hóa / Có Doanh thu
B. Nợ Tiền mặt / Có Doanh thu
C. Nợ Phải thu khách hàng / Có Doanh thu  ✓
D. Nợ Doanh thu / Có Hàng hóa</t>
  </si>
  <si>
    <t>Doanh nghiệp bán hàng với giá 50 triệu đồng nhưng khách trả trước 20 triệu đồng và còn nợ 30 triệu đồng. Bút toán ghi nhận doanh thu này đúng là gì?
A. Nợ Tiền mặt / Có Doanh thu
B. Nợ Hàng hóa / Có Doanh thu
C. Nợ Phải thu / Có Doanh thu
D. Nợ Doanh thu / Có Phải thu  ✓</t>
  </si>
  <si>
    <t>Doanh nghiệp mua hàng với giá 10 triệu đồng nhưng trả chậm 2 tháng. Bút toán ghi nhận chi phí này đúng là gì?
A. Nợ Hàng hóa / Có Chi phí
B. Nợ Phải trả người bán / Có Chi phí
C. Nợ Tiền mặt / Có Chi phí
D. Nợ Chi phí / Có Phải trả người bán  ✓</t>
  </si>
  <si>
    <t>Doanh nghiệp mua hàng với giá 80 triệu đồng nhưng trả bằng tiền mặt. Bút toán ghi nhận chi phí này đúng là gì?
A. Nợ Hàng hóa / Có Chi phí
B. Nợ Phải trả người bán / Có Chi phí
C. Nợ Tiền mặt / Có Chi phí  ✓
D. Nợ Chi phí / Có Tiền mặt</t>
  </si>
  <si>
    <t>Khi lập báo cáo tài chính hàng quý, bạn phát hiện có nhiều dòng dữ liệu không phù hợp với tiêu chuẩn kế toán. Cách xử lý hiệu quả nhất là gì?
A. Xóa tất cả các dòng dữ liệu không phù hợp
B. Tạo một công thức IF để tự động loại bỏ những dòng không phù hợp
C. Sử dụng hàm FILTER để lọc ra chỉ những dòng dữ liệu phù hợp  ✓
D. Thay đổi tiêu chuẩn kế toán để phù hợp với dữ liệu hiện tại</t>
  </si>
  <si>
    <t>Doanh nghiệp bạn đang muốn lập một bảng phân tích doanh thu theo từng sản phẩm. Tuy nhiên, dữ liệu ban đầu rất凌乱，我来帮你整理一下。以下是按照要求生成的两个问题：请注意，我已经将示例中的部分细节进行了调整以符合新的要求，并确保了每个选项都是合理的且具有迷惑性。请确认是否需要进一步修改或添加其他内容？以下是JSON格式的问题：```````json[{
A. Tạo một công thức IF để tự động loại bỏ những dòng không phù合，我来帮你整理一下。以下是按照要求生成的两个问题：请注意，我已经将示例中的部分细节进行了调整以符合新的要求，并确保了每个选项都是合理的且具有迷惑性。请确认是否需要进一步修改或添加其他内容？以下是JSON格式的问题：```````json[{
B. options
C. correct_index  ✓
D. question</t>
  </si>
  <si>
    <t>Doanh nghiệp bạn đang muốn lập một bảng phân tích doanh thu theo từng sản phẩm. Tuy nhiên, dữ liệu ban đầu rất凌乱，我来帮你整理一下。以下是按照要求生成的两个问题：请注意，我已经将示例中的部分细节进行了调整以符合新的要求，并确保了每个选项都是合理的且具有迷惑性。请确认是否需要进一步修改或添加其他内容？以下是JSON格式的问题：```````json[{
A. Tạo một công thức IF để tự động loại bỏ những dòng không phù hợp
B. Sử dụng hàm FILTER để lọc ra chỉ những dòng dữ liệu phù hợp  ✓
C. Thay đổi tiêu chuẩn kế toán để phù hợp với dữ liệu hiện tại
D. Xóa tất cả các dòng dữ liệu không phù hợp</t>
  </si>
  <si>
    <t>Khi lập báo cáo tài chính hàng quý, bạn phát hiện có nhiều dòng dữ liệu không phù hợp với tiêu chuẩn kế toán. Cách xử lý hiệu quả nhất là gì?
A. Tạo một công thức IF để tự động loại bỏ những dòng không phù hợp
B. Sử dụng hàm FILTER để lọc ra chỉ những dòng dữ liệu phù hợp
C. Thay đổi tiêu chuẩn kế toán để phù hợp với dữ liệu hiện tại  ✓
D. Xóa tất cả các dòng dữ liệu không phù hợp</t>
  </si>
  <si>
    <t>Khi gặp khách hàng doanh nghiệp mới, bạn nhận thấy họ có nhiều câu hỏi và lo lắng về chất lượng sản phẩm. Cách tiếp cận tốt nhất của bạn là gì?
A. Tránh trả lời trực tiếp để không gây áp lực
B. Giảm giá ngay lập tức để thuyết phục họ mua hàng
C. Chia sẻ thông tin về chất lượng sản phẩm qua email sau cuộc gặp
D. Hiểu rõ nhu cầu và lo lắng của khách hàng, giải thích chi tiết về chất lượng sản phẩm  ✓</t>
  </si>
  <si>
    <t>Trong một cuộc họp với đối tác B2B, bạn phát hiện ra họ đang cân nhắc giữa nhiều nhà cung cấp. Bạn nên làm gì để thuyết phục họ chọn công ty của bạn?
A. Hứa hẹn giảm giá trong tương lai
B. Chia sẻ thành tích và kinh nghiệm của công ty qua email sau cuộc họp
C. Hiểu rõ nhu cầu của đối tác, đề xuất giải pháp phù hợp  ✓
D. Giảm thời gian thanh toán từ 30 ngày xuống còn 15 ngày</t>
  </si>
  <si>
    <t>Một khách hàng tiềm năng yêu cầu báo giá chi tiết về sản phẩm. Bạn nên làm gì để đảm bảo họ cảm thấy được tôn trọng và quan tâm?
A. Gửi email với thông tin ngắn gọn
B. Trả lời qua điện thoại nhưng không cung cấp nhiều thông tin
C. Hẹn gặp trực tiếp hoặc video call để thảo luận chi tiết  ✓
D. Yêu cầu họ đặt hàng trước khi cung cấp bất kỳ thông tin nào</t>
  </si>
  <si>
    <t>Khi khách hàng doanh nghiệp yêu cầu hỗ trợ kỹ thuật, bạn nên làm gì để đảm bảo sự hài lòng của họ?
A. Tránh liên lạc trực tiếp và chỉ cung cấp hướng dẫn qua email
B. Hứa hẹn giải quyết vấn đề trong 24 giờ nhưng không thực hiện
C. Chia sẻ thông tin chi tiết về quy trình hỗ trợ kỹ thuật qua email sau cuộc gọi
D. Hiểu rõ vấn đề, giải thích cách khắc phục và cam kết thời gian phản hồi  ✓</t>
  </si>
  <si>
    <t>Khi tiếp cận một khách hàng mới trong ngành công nghiệp nặng, bạn nhận thấy họ đang sử dụng nhiều nhà cung cấp khác nhau. Cách tiếp cận tốt nhất để thuyết phục họ chuyển đổi sang sản phẩm của bạn là gì?
A. Chỉ ra lợi ích về chi phí tổng thể và giảm phụ thuộc vào nhiều nhà cung cấp  ✓
B. Hứa hẹn một hợp đồng dài hạn với giá ưu đãi
C. Cung cấp mẫu sản phẩm miễn phí để khách hàng thử nghiệm
D. Thăm dò thông tin về các nhà cung cấp hiện tại của họ</t>
  </si>
  <si>
    <t>Sau khi tư vấn cho một doanh nghiệp nhỏ, bạn nhận thấy rằng họ không có đủ ngân sách để mua sản phẩm cao cấp mà bạn đang giới thiệu. Bạn nên làm gì tiếp theo?
A. Thay đổi chiến lược và đề xuất các giải pháp phù hợp với ngân sách của họ  ✓
B. Tiếp tục nhấn mạnh ưu điểm của sản phẩm cao cấp
C. Hỗ trợ họ vay vốn để mua sản phẩm
D. Từ chối bán sản phẩm vì không phù hợp</t>
  </si>
  <si>
    <t>Trong quá trình đàm phán với một khách hàng lớn, bạn nhận ra rằng đối tác của họ đang cân nhắc giữa nhiều lựa chọn. Cách tiếp cận tốt nhất để giữ cho cuộc đàm phán tiến triển thuận lợi là gì?
A. Tạo ra cảm giác khẩn cấp bằng cách giới hạn thời gian quyết định
B. Hỗ trợ khách hàng trong việc so sánh các lựa chọn và đưa ra lời khuyên chuyên môn  ✓
C. Thách thức các đối thủ cạnh tranh của bạn để tạo áp lực
D. Đề xuất một mức giá cao hơn để đảm bảo lợi nhuận tốt</t>
  </si>
  <si>
    <t>Khách hàng đã xem sản phẩm của bạn nhưng từ chối mua vì giá cao. Bạn nên làm gì tiếp theo?
A. Trả lời khách hàng rằng giá là hợp lý và không thể giảm
B. Hỏi khách hàng về nguyên nhân cụ thể để tìm hiểu thêm nhu cầu của họ  ✓
C. Tỏ ra tức giận với quyết định của khách hàng
D. Bỏ qua phản hồi của khách hàng và tiếp tục giới thiệu sản phẩm</t>
  </si>
  <si>
    <t>Khách hàng B2B yêu cầu giá ưu đãi hơn nhưng bạn không thể giảm giá. Bạn nên xử lý như thế nào?
A. Từ chối thẳng thừng và kết thúc cuộc trò chuyện
B. Hỏi khách hàng về mục đích sử dụng sản phẩm để xem xét khả năng thỏa thuận khác  ✓
C. Giảm giá ngay lập tức mà không cần thảo luận thêm
D. Bỏ qua yêu cầu của khách hàng</t>
  </si>
  <si>
    <t>Khi chạy quảng cáo Facebook Ads cho một chiến dịch mới, bạn phát hiện rằng tỷ lệ nhấp (CTR) thấp hơn so với kỳ vọng. Bạn nên thực hiện bước đầu tiên nào sau đây?
A. Tăng ngân sách quảng cáo
B. Thay đổi nội dung quảng cáo
C. Kiểm tra lại mục tiêu quảng cáo
D. Xem xét lại đối tượng mục tiêu  ✓</t>
  </si>
  <si>
    <t>Bạn nhận thấy chiến dịch Facebook Ads của công ty đang gặp vấn đề về hiệu suất, cụ thể là tỷ lệ chuyển đổi thấp. Bạn đã kiểm tra và điều chỉnh các yếu tố như nội dung quảng cáo, ngân sách, đối tượng mục tiêu nhưng vẫn không cải thiện được. Bước tiếp theo bạn nên thực hiện là gì?
A. Tăng cường tối ưu hóa trang web  ✓
B. Thay đổi thời gian hiển thị quảng cáo
C. Kiểm tra lại mã nguồn website
D. Xem xét lại chiến lược nội dung</t>
  </si>
  <si>
    <t>Khi chạy quảng cáo Google Ads cho một sản phẩm mới, bạn phát hiện rằng tỷ lệ nhấp chuột (CTR) thấp và chi phí mỗi lượt nhấp (CPC) cao. Bạn nên thực hiện bước đầu tiên nào sau đây?
A. Tăng ngân sách quảng cáo
B. Thay đổi từ khóa để bao quát hơn
C. Kiểm tra và tối ưu hóa tiêu đề và mô tả quảng cáo  ✓
D. Thêm nhiều hình ảnh quảng cáo</t>
  </si>
  <si>
    <t>Bạn nhận thấy một chiến dịch Google Ads đang có hiệu suất tốt nhưng chi phí vượt quá ngân sách đã định. Bạn nên làm gì để cải thiện tình hình?
A. Giảm thời gian hiển thị quảng cáo  ✓
B. Tăng giá thầu tối đa cho từ khóa quan trọng
C. Thay đổi cấu trúc nhóm từ khóa
D. Tối ưu hóa chuyển đổi bằng cách thêm form liên hệ</t>
  </si>
  <si>
    <t>Công ty của bạn đang chạy một chiến dịch quảng cáo trên Facebook với CTR thấp. Bạn nhận thấy rằng nội dung quảng cáo không thu hút người dùng và muốn cải thiện chỉ số này. Cách tiếp cận hiệu quả nhất là gì?
A. Tăng ngân sách cho chiến dịch
B. Thay đổi hình ảnh quảng cáo thành video
C. Đổi từ ngữ trong tiêu đề và mô tả  ✓
D. Xây dựng một trang web mới để dẫn hướng</t>
  </si>
  <si>
    <t>Bạn đang quản lý một chiến dịch quảng cáo Google Ads với mục tiêu tối ưu hóa CPA. Sau khi phân tích, bạn nhận thấy rằng tỷ lệ chuyển đổi cao nhưng chi phí mỗi chuyển đổi (CPA) vẫn cao hơn so với mục tiêu. Cách tiếp cận tốt nhất để giảm CPA là gì?
A. Tăng ngân sách quảng cáo
B. Giảm giá cước CPC cho từ khóa có hiệu suất thấp  ✓
C. Tăng giá cước CPC cho từ khóa có hiệu suất cao
D. Thay đổi mô hình quảng cáo sang Display Network</t>
  </si>
  <si>
    <t>Một chiến dịch email marketing đã thực hiện xong nhưng bạn nhận thấy hiệu suất chuyển đổi thấp. Bạn muốn phân tích nguyên nhân từ Google Analytics, phương án nào sau đây là phù hợp nhất?
A. Xem số lượng người mở email thông qua tham số 'Event Label' trong Reporting
B. Kiểm tra tỷ lệ nhấp chuột (CTR) và chuyển đổi trực tiếp trên trang web
C. Phân tích hành vi truy cập của khách hàng trước và sau khi nhận email thông qua 'Behavior Flow'  ✓
D. Xem số lượng người đăng ký danh sách gửi thư từ tham số 'Campaign Source'</t>
  </si>
  <si>
    <t>Bạn phát hiện ra rằng có một sự cố kỹ thuật đã làm gián đoạn việc theo dõi chuyển đổi trong Google Analytics. Bạn cần xác định thời gian cụ thể khi sự cố xảy ra để xem xét lại chiến lược, phương án nào sau đây là tốt nhất?
A. Kiểm tra báo cáo 'Real-Time' để tìm kiếm sự cố
B. Xem lịch sử cập nhật của Google Analytics
C. Kiểm tra thông báo bảo trì hoặc lỗi kỹ thuật từ Google Analytics  ✓
D. So sánh số liệu chuyển đổi trước và sau khi phát hiện sự cố</t>
  </si>
  <si>
    <t>Chiến dịch marketing mới của công ty đã kết thúc và bạn nhận thấy hiệu quả không như mong đợi. Bạn cần lập báo cáo để phân tích nguyên nhân. Trong quá trình này, bạn nên tập trung vào việc kiểm tra điều gì đầu tiên?
A. Tổng số lượng khách hàng mới được thu thập từ chiến dịch
B. Chi phí tổng cộng của chiến dịch so với doanh thu đạt được
C. Phản hồi và phản ánh của khách hàng thông qua khảo sát sau khi chiến dịch kết thúc
D. Số lượng truy cập website trước và sau khi triển khai chiến dịch  ✓</t>
  </si>
  <si>
    <t>Phối hợp với content và design</t>
  </si>
  <si>
    <t>Khi content team đề xuất một bài viết mới với nội dung không phù hợp với định hướng branding của công ty, bạn sẽ làm gì?
A. Từ chối hoàn toàn và yêu cầu họ thay đổi ngay lập tức
B. Giao cho design team thiết kế trước để tạo áp lực cho content team
C. Trò chuyện với content team để hiểu rõ hơn về ý tưởng của họ, sau đó thảo luận cách điều chỉnh nội dung phù hợp với branding  ✓
D. Để bài viết như vậy vì quan điểm cá nhân của mình không quan trọng</t>
  </si>
  <si>
    <t>Khi phỏng vấn ứng viên, bạn nhận thấy họ không thể giải thích rõ ràng về kinh nghiệm làm việc trước đây. Bạn nên xử lý như thế nào?
A. Tạm dừng cuộc phỏng vấn và yêu cầu ứng viên cung cấp thêm thông tin
B. Hỏi tiếp các câu hỏi liên quan để hiểu rõ hơn về kinh nghiệm của họ  ✓
C. Đánh giá cao sự trung thực nhưng không đưa ra quyết định ngay lập tức
D. Kết thúc cuộc phỏng vấn sớm vì thấy ứng viên không phù hợp</t>
  </si>
  <si>
    <t>Một đồng nghiệp của bạn đang chuẩn bị một buổi thuyết trình về kỹ năng giao tiếp. Bạn nhận ra họ đã lạm dụng ngôn ngữ cơ thể, làm mất đi sự chuyên nghiệp. Bạn nên khuyên họ như thế nào?
A. Hãy tập trung vào nội dung và tránh sử dụng quá nhiều cử chỉ tay  ✓
B. Đề xuất họ nên tập luyện thêm về kỹ năng thuyết trình trước gương
C. Yêu cầu họ thay đổi toàn bộ cách thức truyền đạt thông tin
D. Gợi ý họ nên xem các video hướng dẫn để cải thiện</t>
  </si>
  <si>
    <t>Trong một buổi họp, bạn phát hiện ra rằng có sự bất đồng quan điểm giữa hai thành viên. Bạn cần xử lý tình huống này như thế nào?
A. Hãy lắng nghe cả hai bên và tìm cách hòa giải  ✓
B. Đề xuất đưa ra quyết định cuối cùng để tránh tranh cãi
C. Yêu cầu họ phải ngừng thảo luận và tập trung vào công việc khác
D. Gợi ý cho họ nên làm việc riêng biệt để tránh xung đột</t>
  </si>
  <si>
    <t>Một ứng viên tiềm năng liên tục sử dụng ngôn ngữ chuyên môn mà bạn không hiểu. Bạn nên xử lý như thế nào?
A. Yêu cầu họ giải thích rõ hơn về những thuật ngữ đó  ✓
B. Hỏi tiếp để đảm bảo rằng họ thực sự hiểu rõ về lĩnh vực này
C. Gợi ý cho họ nên tránh sử dụng quá nhiều ngôn ngữ chuyên môn
D. Tạm dừng cuộc phỏng vấn vì thấy ứng viên không phù hợp</t>
  </si>
  <si>
    <t>Ứng viên A nộp hồ sơ cho vị trí Chuyên viên Tuyển dụng với kinh nghiệm làm việc trong ngành công nghệ thông tin. Trong mô tả công việc (JD), yêu cầu ứng viên phải có ít nhất 1 năm kinh nghiệm trong lĩnh vực nhân sự. Cách xử lý hợp lý là gì?
A. Yêu cầu ứng viên A cung cấp thêm chứng minh về kinh nghiệm làm việc trong ngành nhân sự.
B. Tư vấn ứng viên A tham gia các khóa học liên quan để bổ sung kinh nghiệm.
C. Nhận hồ sơ của ứng viên A và đánh giá kỹ năng phù hợp với vị trí dựa trên CV và phỏng vấn.  ✓
D. Trả hồ sơ cho ứng viên A vì không đáp ứng được yêu cầu về kinh nghiệm.</t>
  </si>
  <si>
    <t>Ứng viên B có kinh nghiệm làm việc trong lĩnh vực nhân sự nhưng chỉ là vị trí hỗ trợ, chưa từng đảm nhiệm vị trí Chuyên viên Tuyển dụng. Trong JD yêu cầu ứng viên phải có kỹ năng phân tích và đánh giá hồ sơ ứng tuyển. Cách xử lý hợp lý là gì?
A. Yêu cầu ứng viên B cung cấp thêm thông tin về kinh nghiệm làm việc liên quan.
B. Tư vấn ứng viên B tham gia các khóa học để nâng cao kỹ năng phân tích và đánh giá hồ sơ.
C. Nhận hồ sơ của ứng viên B và đánh giá kỹ năng phù hợp với vị trí dựa trên CV và phỏng vấn.  ✓
D. Trả hồ sơ cho ứng viên B vì không đáp ứng được yêu cầu về kinh nghiệm.</t>
  </si>
  <si>
    <t>Khi nhận hồ sơ ứng tuyển, bạn phát hiện một số hồ sơ không đầy đủ thông tin. Bạn nên làm gì tiếp theo?
A. Gửi email nhắc nhở ứng viên hoàn thiện hồ sơ trong vòng 24 giờ  ✓
B. Lưu hồ sơ và liên hệ với ứng viên sau khi phỏng vấn để yêu cầu bổ sung thông tin
C. Tự động loại bỏ hồ sơ không đầy đủ thông tin vì sợ mất thời gian
D. Ghi chú lại và tiếp tục xử lý các hồ sơ khác</t>
  </si>
  <si>
    <t>Trong quá trình phỏng vấn, ứng viên A tỏ ra rất tự tin nhưng không có kinh nghiệm làm việc thực tế. Bạn nên đánh giá như thế nào?
A. Đánh giá cao vì ứng viên tự tin
B. Yêu cầu ứng viên cung cấp thêm thông tin về kinh nghiệm làm việc qua điện thoại  ✓
C. Ghi chú lại và tiếp tục phỏng vấn các ứng viên khác
D. Tạo cơ hội cho ứng viên A chia sẻ thêm về kỹ năng mềm</t>
  </si>
  <si>
    <t>Sau khi đưa ra offer, bạn nhận được phản hồi từ ứng viên B rằng họ đang cân nhắc giữa công ty của bạn và một công ty khác. Bạn nên làm gì?
A. Yêu cầu ứng viên B quyết định nhanh chóng để không mất thời gian
B. Gửi email xác nhận offer và nhấn mạnh lợi ích của việc gia nhập công ty  ✓
C. Tạm dừng quá trình tuyển dụng cho vị trí này vì lo ngại ứng viên B sẽ từ chối
D. Liên hệ với công ty khác để tìm hiểu thông tin về ứng viên B</t>
  </si>
  <si>
    <t>Khi nhận thấy một ứng viên tiềm năng không phù hợp với vị trí tuyển dụng nhưng vẫn có kỹ năng tốt, bạn nên làm gì tiếp theo?
A. Gửi thông báo chính thức từ chối ứng viên
B. Hỗ trợ ứng viên tìm hiểu về các vị trí khác trong công ty  ✓
C. Tư vấn ứng viên cải thiện kỹ năng phù hợp với vị trí hiện tại
D. Trả lời nhanh chóng và rõ ràng rằng ứng viên không phù hợp</t>
  </si>
  <si>
    <t>Khi khách hàng gọi điện với phản hồi tiêu cực về sản phẩm, bạn nên làm gì đầu tiên?
A. Gợi ý cho khách hàng cách sử dụng sản phẩm khác
B. Xác nhận thông tin và cảm ơn khách hàng đã chia sẻ  ✓
C. Trình bày lý do tại sao sản phẩm không phù hợp
D. Yêu cầu khách hàng gửi lại sản phẩm để kiểm tra</t>
  </si>
  <si>
    <t>Nếu một khách hàng liên tục gọi điện với nhiều câu hỏi về chính sách bảo hành, bạn nên xử lý như thế nào?
A. Tránh trả lời trực tiếp và chuyển sang nhân viên khác
B. Giải thích chi tiết từng vấn đề theo quy định công ty
C. Hỏi khách hàng có cần hỗ trợ gì cụ thể không  ✓
D. Yêu cầu khách hàng gửi email để giải đáp sau</t>
  </si>
  <si>
    <t>Khi một khách hàng mới mua sản phẩm và gọi điện hỏi về cách sử dụng, bạn nên làm gì?
A. Trả lời ngắn gọn và chuyển sang nhân viên kỹ thuật
B. Hướng dẫn chi tiết qua điện thoại  ✓
C. Yêu cầu khách hàng đọc hướng dẫn đi kèm trong hộp
D. Gửi video hướng dẫn qua email</t>
  </si>
  <si>
    <t>Khách hàng gọi điện và than phiền rằng họ đã nhận sai sản phẩm. Nhân viên Chăm sóc Khách hàng nên làm gì đầu tiên?
A. Ghi chú lại vấn đề và thông báo với quản lý sau
B. Xin lỗi khách hàng, xác nhận thông tin và hướng dẫn cách giải quyết  ✓
C. Hẹn gặp trực tiếp khách hàng để giải quyết vấn đề
D. Bảo đảm rằng khách hàng hiểu sai sản phẩm</t>
  </si>
  <si>
    <t>Khách hàng gọi điện yêu cầu hỗ trợ về một dịch vụ mà nhân viên không chuyên trách. Nhân viên nên làm gì?
A. Hướng dẫn khách hàng tự giải quyết vấn đề
B. Ghi chú lại và chuyển cho bộ phận chuyên trách xử lý  ✓
C. Từ chối giúp đỡ vì không thuộc phạm vi công việc của mình
D. Bảo rằng sẽ cố gắng tìm cách hỗ trợ dù không chuyên trách</t>
  </si>
  <si>
    <t>Khách hàng gọi điện phản ánh rằng họ đã thanh toán hóa đơn nhưng vẫn nhận được thông báo thiếu tiền. Làm gì để xử lý tình huống này?
A. Ghi chú lại và chuyển cho bộ phận kỹ thuật
B. Xác nhận lại với khách hàng về việc thanh toán và kiểm tra hệ thống  ✓
C. Hẹn gặp trực tiếp khách hàng tại văn phòng
D. Tư vấn khách hàng mua sản phẩm khác</t>
  </si>
  <si>
    <t>Khách hàng đến cửa hàng phàn nàn rằng họ đã nhận hàng nhưng không hài lòng về chất lượng. Làm gì để xử lý tình huống này?
A. Yêu cầu khách hàng trả lại hàng và đổi sản phẩm khác
B. Hỗ trợ khách hàng hoàn tiền hoặc thay thế sản phẩm  ✓
C. Tư vấn khách hàng sử dụng sản phẩm theo hướng dẫn
D. Ghi chú lại và không hành động</t>
  </si>
  <si>
    <t>Một khách hàng gọi điện với nhiều vấn đề phức tạp liên quan đến đơn hàng và thanh toán. Bạn nhận thấy mình đang mất khá nhiều thời gian để giải quyết, nhưng khách hàng vẫn chưa hài lòng. Trong trường hợp này, cách tiếp cận tốt nhất là gì?
A. Tạm dừng cuộc gọi và thông báo với khách hàng rằng bạn cần thêm thời gian để xử lý vấn đề
B. Tiếp tục giải quyết từng vấn đề một cho đến khi khách hàng hài lòng
C. Hãy kiên nhẫn, lắng nghe kỹ lưỡng và đảm bảo khách hàng cảm thấy được tôn trọng, đồng thời đề xuất giải pháp nhanh chóng nhất có thể  ✓
D. Ghi chú lại yêu cầu của khách hàng và thông báo với quản lý để họ xử lý</t>
  </si>
  <si>
    <t>(nhãn skill lỗi – model sinh tiếng Trung)</t>
  </si>
  <si>
    <t>Một khách hàng gọi điện phản ánh rằng họ không nhận được thông báo về đơn đặt hàng mới. Bạn làm gì đầu tiên?
A. Gửi lại email xác nhận cho khách hàng
B. Kiểm tra lịch sử giao dịch và tìm hiểu nguyên nhân  ✓
C. Yêu cầu khách hàng kiểm tra hộp thư đến của mình
D. Hẹn gặp trực tiếp với khách hàng để giải quyết vấn đề</t>
  </si>
  <si>
    <t>Khi một khách hàng gọi điện yêu cầu hỗ trợ về sản phẩm, nhưng bạn không biết cách giải quyết. Bạn sẽ làm gì?
A. Trả lời rằng bạn không thể giúp đỡ
B. Gợi ý cho khách hàng tìm kiếm thông tin trên trang web của công ty
C. Hẹn gặp trực tiếp với khách hàng để giải quyết vấn đề
D. Liên hệ với bộ phận kỹ thuật hoặc quản lý sản phẩm để tìm cách hỗ trợ  ✓</t>
  </si>
  <si>
    <t>Một dự án đang tiến hành nhưng phát hiện một số công việc không còn phù hợp với mục tiêu ban đầu. Làm thế nào để quản lý phạm vi dự án hiệu quả trong trường hợp này?
A. Ghi chú lại và tiếp tục thực hiện các công việc không phù hợp
B. Tổ chức cuộc họp với đội ngũ để thảo luận về việc loại bỏ hoặc điều chỉnh những công việc không còn phù hợp  ✓
C. Thay đổi mục tiêu dự án hoàn toàn để phù hợp với công việc hiện tại
D. Bỏ qua vấn đề này và tiếp tục theo dõi trong giai đoạn sau</t>
  </si>
  <si>
    <t>Dự án đang tiến hành nhưng phát hiện một số yêu cầu mới từ khách hàng. Làm thế nào để quản lý phạm vi dự án khi có thêm yêu cầu?
A. Từ chối yêu cầu vì chúng không nằm trong kế hoạch
B. Thay đổi kế hoạch dự án và điều chỉnh phạm vi dựa trên các yêu cầu mới
C. Ghi nhận yêu cầu nhưng không thay đổi kế hoạch hiện tại  ✓
D. Hủy bỏ tất cả công việc hiện tại để tập trung vào yêu cầu mới</t>
  </si>
  <si>
    <t>Một dự án đang tiến độ chậm và vượt ngân sách. Bạn nhận thấy một số công việc không cần thiết đã được thực hiện. Cách tiếp cận hiệu quả nhất là gì?
A. Tiếp tục thực hiện các công việc còn lại
B. Xem xét cắt giảm những công việc không quan trọng  ✓
C. Tăng thêm nhân lực để bù đắp thời gian mất
D. Đề xuất tăng ngân sách cho dự án</t>
  </si>
  <si>
    <t>Dự án của bạn đang gặp phải sự cố về quản lý thời gian, với nhiều công việc bị chậm trễ. Bạn nhận ra rằng lịch trình không được cập nhật thường xuyên. Cách cải thiện tình hình tốt nhất là gì?
A. Tạo một lịch trình mới từ đầu
B. Thay đổi cách thức làm việc của đội ngũ
C. Cải thiện quy trình quản lý thời gian và cập nhật thường xuyên  ✓
D. Giao thêm công việc cho nhân viên khác</t>
  </si>
  <si>
    <t>Dự án của bạn đang gặp vấn đề về chi phí vượt ngân sách. Bạn nhận thấy rằng một số công việc không cần thiết đã được thực hiện, và một số công việc quan trọng bị bỏ sót. Cách tiếp cận hiệu quả nhất để kiểm soát chi phí trong trường hợp này là gì?
A. Tiếp tục thực hiện các công việc chưa hoàn thành mà không thay đổi kế hoạch
B. Đánh giá lại toàn bộ kế hoạch và cắt giảm các công việc không cần thiết, đồng thời bổ sung những công việc quan trọng bị bỏ sót  ✓
C. Tăng ngân sách dự án để bù đắp cho chi phí vượt quá
D. Giao trách nhiệm quản lý chi phí cho nhân viên mới để họ có thể đưa ra quyết định nhanh chóng</t>
  </si>
  <si>
    <t>Một dự án xây dựng đang tiến hành, nhưng do thay đổi quy hoạch đô thị, công trình phải tạm dừng. Quản lý dự án nên làm gì để giảm thiểu rủi ro và ảnh hưởng đến tiến độ?
A. Tiếp tục triển khai theo kế hoạch ban đầu
B. Tạm ngừng toàn bộ dự án
C. Đề xuất phương án thay thế cho chủ đầu tư  ✓
D. Gửi thông báo cho các nhà thầu về việc tiếp tục làm việc</t>
  </si>
  <si>
    <t>Trong quá trình triển khai một hệ thống quản lý chất lượng mới, đội ngũ kỹ thuật gặp phải sự cố không thể xác định nguyên nhân. Quản lý dự án nên thực hiện bước đầu tiên nào?
A. Tạm ngừng sử dụng hệ thống
B. Gọi nhà cung cấp để yêu cầu hỗ trợ
C. Đánh giá rủi ro và xác định các phương án giải quyết  ✓
D. Thay đổi đội ngũ kỹ thuật</t>
  </si>
  <si>
    <t>Một stakeholder quan trọng của dự án phản đối một quyết định đã được ban quản lý phê duyệt. Làm thế nào bạn sẽ xử lý tình huống này?
A. Tổ chức một cuộc họp với stakeholder để giải thích quyết định và tìm hiểu ý kiến của họ.  ✓
B. Tránh tiếp xúc với stakeholder để tránh xung đột.
C. Thay đổi quyết định ngay lập tức theo ý kiến của stakeholder.
D. Gửi email cho stakeholder giải thích quyết định.</t>
  </si>
  <si>
    <t>Khi quản lý một dự án, bạn nhận thấy một số thành viên nhóm không đồng lòng với mục tiêu chung. Bạn sẽ làm gì để cải thiện tình hình?
A. Tổ chức một buổi họp nhóm để thảo luận về mục tiêu và tìm cách thống nhất.  ✓
B. Giao trách nhiệm cụ thể cho từng thành viên để họ tự giải quyết vấn đề.
C. Thay đổi đội ngũ nhân sự ngay lập tức.
D. Tránh thảo luận về vấn đề này trong các cuộc họp.</t>
  </si>
  <si>
    <t>Một stakeholder yêu cầu thay đổi một tính năng quan trọng của dự án. Bạn nên làm gì trước tiên?
A. Tổ chức một cuộc họp với đội ngũ kỹ thuật để đánh giá tác động và đề xuất giải pháp.  ✓
B. Trả lời ngay lập tức đồng ý với stakeholder.
C. Thay đổi yêu cầu ngay lập tức mà không cần thảo luận thêm.
D. Gửi email cho stakeholder thông báo về quyết định của bạn.</t>
  </si>
  <si>
    <t>Năng động</t>
  </si>
  <si>
    <t>Một khách hàng gửi phản hồi rằng rác thải từ công trình của họ không được thu gom đúng thời hạn. Bạn nhận được thông tin này vào buổi chiều thứ 5, ngày làm việc cuối tuần. Cách xử lý hiệu quả nhất là gì?
A. Gửi email cho khách hàng xác nhận và cam kết sẽ giải quyết trong tuần tới
B. Lập lịch ngay lập tức với đội thu gom rác để đến thu gom vào buổi sáng thứ 6  ✓
C. Ghi chú lại trong hệ thống và kiểm tra lại sau khi nghỉ lễ
D. Trả lời khách hàng rằng công ty đang bận và sẽ xử lý sớm nhất có thể</t>
  </si>
  <si>
    <t>Khi kiểm tra hồ sơ rác thải, bạn phát hiện một lô rác không rõ nguồn gốc. Bạn nên làm gì tiếp theo?
A. Gửi email cho bộ phận quản lý chất thải để thông báo về vấn đề
B. Kiểm tra lại hồ sơ và liên hệ với khách hàng cung cấp thông tin chính xác  ✓
C. Để lô rác đó trong khu vực tạm trữ và tiếp tục kiểm tra các lô khác
D. Ghi chú vào hồ sơ và xử lý lô rác này cùng với những lô khác</t>
  </si>
  <si>
    <t>Tinh thần trách nhiệm cao</t>
  </si>
  <si>
    <t>Trong quá trình thu gom rác tại khu công nghiệp, nhân viên phát hiện một bao bì chứa chất lỏng nghi ngờ có mùi hôi khó chịu và màu sắc lạ. Nhân viên nên xử lý như thế nào để đảm bảo an toàn và tuân thủ quy định?
A. Ghi chú sự việc và tiếp tục thu gom rác
B. Lấy mẫu bao bì và báo cáo cho bộ phận quản lý chất thải nguy hại  ✓
C. Đổ bỏ bao bì vào thùng rác thông thường để tránh lãng phí thời gian
D. Ném bao bì ra xa khu vực thu gom rác</t>
  </si>
  <si>
    <t>Chịu được áp lực công việc</t>
  </si>
  <si>
    <t>Trong quá trình phân loại rác thải, bạn nhận thấy một lượng lớn các sản phẩm nhựa tái chế bị nhầm lẫn vào lô hàng rác thông thường. Điều này làm giảm hiệu suất công việc và gây lãng phí thời gian. Cách tiếp cận tốt nhất để giải quyết vấn đề này là gì?
A. Tăng cường đào tạo cho nhân viên phân loại về cách nhận biết sản phẩm nhựa tái chế  ✓
B. Giảm số lượng rác thải cần xử lý mỗi ngày
C. Thay đổi lịch làm việc của nhân viên để họ có thêm thời gian nghỉ ngơi
D. Gửi thông báo cảnh báo đến các nhà cung cấp về chất lượng rác thải</t>
  </si>
  <si>
    <t>Khi kiểm tra lô hàng mới, bạn phát hiện một số sản phẩm có dấu hiệu bị hỏng nhưng không rõ nguyên nhân. Điều này làm tăng áp lực công việc và thời gian xử lý. Cách tiếp cận phù hợp nhất để giải quyết vấn đề này là gì?
A. Tăng cường kiểm tra kỹ lưỡng hơn cho từng sản phẩm  ✓
B. Gửi thông báo đến nhà cung cấp về tình trạng hàng hóa
C. Thay đổi lịch làm việc của nhân viên để họ có thêm thời gian nghỉ ngơi
D. Giảm số lượng hàng hóa cần kiểm tra mỗi ngày</t>
  </si>
  <si>
    <t>Ham học hỏi</t>
  </si>
  <si>
    <t>Khi xử lý một lượng lớn dữ liệu rác từ nhiều nguồn khác nhau, bạn nhận thấy có một số trường hợp đặc biệt mà quy trình hiện tại không thể xử lý. Cách tiếp cận tốt nhất để giải quyết vấn đề này là gì?
A. Tạo một quy trình riêng biệt cho các trường hợp edge case
B. Xác định và cập nhật quy trình xử lý rác theo từng trường hợp cụ thể  ✓
C. Ghi chú lại những trường hợp không thể xử lý và bỏ qua chúng
D. Tăng cường nhân lực để xử lý thủ công những trường hợp khó</t>
  </si>
  <si>
    <t>Thái độ tích cực</t>
  </si>
  <si>
    <t>Trong quá trình thu gom rác, bạn phát hiện một túi rác bị rách và có nhiều đồ vật nhỏ rơi ra. Bạn nên làm gì tiếp theo?
A. Ghi chú lại vị trí và báo cáo cho quản lý sau khi hoàn thành công việc
B. Nhặt lên và bỏ vào túi rác khác để đảm bảo không mất thêm thời gian
C. Để nguyên tại chỗ vì đã phát hiện, tránh làm rách thêm
D. Hãy nhặt lên và kiểm tra xem có đồ vật nào quan trọng cần báo cáo ngay lập tức không  ✓</t>
  </si>
  <si>
    <t>Làm việc nhóm tốt</t>
  </si>
  <si>
    <t>Trong một dự án phát triển ứng dụng quản lý rác thải, đội ngũ của bạn đã gặp phải sự cố khi hệ thống không xử lý đúng các trường hợp ngoại lệ như rác thải nguy hiểm. Làm thế nào để cải thiện việc này?
A. Tăng cường kiểm tra và xử lý edge case trong code  ✓
B. Giao cho một thành viên khác quản lý phần mềm rác thải nguy hiểm
C. Giảm số lượng trường hợp ngoại lệ cần xem xét
D. Tránh sử dụng ngôn ngữ lập trình phức tạp để giảm lỗi</t>
  </si>
  <si>
    <t>Khi thực hiện phân loại rác thải, một thành viên trong nhóm của bạn đề xuất sử dụng thuật toán phân loại dựa trên hình ảnh nhưng không có kinh nghiệm. Bạn nên làm gì?
A. Hỗ trợ và hướng dẫn thành viên đó học hỏi kỹ năng mới  ✓
B. Từ chối ý tưởng vì thiếu kinh nghiệm
C. Giao cho một người khác trong nhóm thực hiện công việc này
D. Thay đổi hoàn toàn phương pháp phân loại rác thải</t>
  </si>
  <si>
    <t>Khả năng làm việc độc lập</t>
  </si>
  <si>
    <t>Trong quá trình thu gom rác, bạn phát hiện một khu vực có nhiều túi nilon và chai nhựa bị vỡ. Cách xử lý phù hợp nhất là gì?
A. Ghi chú lại để nhân viên sau này xử lý
B. Đưa tất cả vào thùng rác thông thường
C. Tách riêng ra, đeo găng tay và cẩn thận thu gom từng món  ✓
D. Nhận định đây không phải là công việc của mình và bỏ qua</t>
  </si>
  <si>
    <t>Một khách hàng gọi điện phản ánh rằng họ đã thanh toán hóa đơn nhưng vẫn chưa nhận được sản phẩm. Bạn làm gì đầu tiên?
A. Gọi lại khách hàng để xác nhận thông tin
B. Kiểm tra hệ thống xem có giao dịch nào chưa được xử lý không  ✓
C. Yêu cầu khách hàng cung cấp thêm thông tin về hóa đơn đã thanh toán
D. Tư vấn khách hàng rằng sản phẩm sẽ đến trong 2-3 ngày tới</t>
  </si>
  <si>
    <t>Trong một cuộc họp, đồng nghiệp của bạn đưa ra ý kiến không phù hợp với dự án. Bạn nên làm gì?
A. Gợi ý nhẹ nhàng về cách tiếp cận khác  ✓
B. Tỏ thái độ không đồng tình và im lặng
C. Phản đối mạnh mẽ để bảo vệ ý kiến của mình
D. Yêu cầu mọi người bỏ phiếu</t>
  </si>
  <si>
    <t>Bạn nhận được email từ một khách hàng yêu cầu hỗ trợ kỹ thuật gấp. Tuy nhiên, bạn không phải là chuyên viên kỹ thuật. Bạn nên làm gì?
A. Trả lời rằng bạn không thể giúp đỡ
B. Gửi email cho bộ phận kỹ thuật và thông báo với khách hàng  ✓
C. Yêu cầu khách hàng liên hệ trực tiếp với bộ phận kỹ thuật
D. Tư vấn khách hàng cách tự giải quyết</t>
  </si>
  <si>
    <t>Một đồng nghiệp của bạn thường xuyên đến muộn. Bạn nên làm gì?
A. Gọi điện nhắc nhở và thảo luận về sự cố này  ✓
B. Trực tiếp nói chuyện với họ để tìm hiểu nguyên nhân
C. Bỏ qua vấn đề vì không muốn gây xích mích
D. Yêu cầu toàn bộ đội nhóm thay đổi giờ làm việc</t>
  </si>
  <si>
    <t>Khi soạn thảo báo cáo tài chính, bạn phát hiện có một số lỗi chính tả và dấu câu. Bạn nên sử dụng tính năng nào của Microsoft Word để tự động kiểm tra?
A. Tính năng Tìm và thay thế
B. Tính năng Kiểm tra chính tả và ngữ pháp  ✓
C. Tính năng Tạo chỉ mục
D. Tính năng Thêm hình ảnh</t>
  </si>
  <si>
    <t>Bạn cần tạo một bảng tính để theo dõi doanh thu hàng tháng. Bạn muốn sử dụng công thức để tự động tính tổng doanh thu cho từng tháng. Công thức nào sau đây là đúng?
A. =SUM(A2:A30)  ✓
B. =AVERAGE(B2:B30)
C. =COUNT(C2:C30)
D. =MAX(D2:D30)</t>
  </si>
  <si>
    <t>Trong một bài thuyết trình, bạn muốn thêm một hình ảnh từ thư viện hình ảnh của PowerPoint. Tuy nhiên, bạn không nhớ rõ cách làm. Bạn nên chọn công cụ nào?
A. Chọn 'Insert' &gt; 'Picture' &gt; 'From File'  ✓
B. Chọn 'Insert' &gt; 'Object' &gt; 'Text Box'
C. Chọn 'Format' &gt; 'Background'
D. Chọn 'Design' &gt; 'Layout Options'</t>
  </si>
  <si>
    <t>Một khách hàng liên tục hủy và đặt lại lịch hẹn với chuyên viên văn phòng. Bạn nhận thấy rằng việc này đang làm gián đoạn công việc của cả đội. Cách xử lý hiệu quả nhất là gì?
A. Tăng cường đào tạo kỹ năng giao tiếp cho nhân viên
B. Thiết lập quy trình xác nhận lịch hẹn rõ ràng và chính thức  ✓
C. Giảm giá dịch vụ để khách hàng không muốn hủy
D. Gửi thông báo nhắc nhở tự động vào phút cuối</t>
  </si>
  <si>
    <t>Chuyên viên văn phòng nhận được yêu cầu từ một bộ phận khác về việc thay đổi lịch họp. Tuy nhiên, trong hệ thống hiện tại không có chức năng cập nhật lịch hẹn trực tiếp từ bên ngoài. Cách xử lý hợp lý nhất là gì?
A. Tạo một bản ghi mới cho cuộc họp mới
B. Gửi email thông báo cho bộ phận khác về việc không thể thay đổi
C. Yêu cầu bộ phận liên hệ trực tiếp với chuyên viên văn phòng để cập nhật
D. Tạo một quy trình thủ công để cập nhật lịch hẹn  ✓</t>
  </si>
  <si>
    <t>Công ty bạn cần lấy danh sách các sản phẩm có giá bán trên 100.000 đồng từ bảng Products để hiển thị trên trang quản trị. Bạn muốn tối ưu hóa truy vấn để tránh việc lặp qua toàn bộ bảng. Cách làm nào sau đây là hiệu quả nhất?
A. Sử dụng LINQ với câu lệnh `var result = from p in Products where p.Price &gt; 100000 select p;`
B. Sử dụng phương thức `Where` và `Select` của LINQ: `var result = Products.Where(p =&gt; p.Price &gt; 100000).ToList();`
C. Lặp qua toàn bộ bảng Products bằng vòng lặp for và kiểm tra điều kiện giá bán.
D. Tạo một index trên cột Price trước khi thực hiện truy vấn.  ✓</t>
  </si>
  <si>
    <t>Một ứng dụng RESTful API của bạn nhận được nhiều yêu cầu GET từ một client không tin cậy, dẫn đến việc sử dụng quá nhiều tài nguyên. Cách tốt nhất để giải quyết vấn đề này là gì?
A. Tăng số lượng worker thread trong server
B. Thêm rate limiting vào endpoint  ✓
C. Đổi phương thức HTTP từ GET thành POST
D. Thay đổi API thành giao diện SOAP</t>
  </si>
  <si>
    <t>Bạn nhận được yêu cầu từ client cần lấy danh sách sản phẩm theo loại, nhưng số lượng sản phẩm lớn và thường xuyên thay đổi. Để tối ưu hóa hiệu suất truy vấn, bạn nên làm gì?
A. Tạo một index trên cột Loại
B. Thực hiện truy vấn SQL phức tạp hơn
C. Sử dụng phương thức HTTP POST thay vì GET
D. Lưu danh sách sản phẩm trong bộ nhớ cache  ✓</t>
  </si>
  <si>
    <t>Có hai bảng Orders và OrderDetails. Bảng Orders chứa thông tin đơn hàng, trong khi OrderDetails lưu chi tiết từng sản phẩm trong mỗi đơn hàng. Bạn cần lấy ra danh sách các đơn hàng cùng với tổng số lượng của từng sản phẩm. Cách thực hiện đúng là gì?
A. SELECT o.OrderId, SUM(od.Quantity) FROM Orders o JOIN OrderDetails od ON o.OrderId = od.OrderId GROUP BY o.OrderId  ✓
B. SELECT o.OrderId, SUM(od.Quantity) FROM Orders o INNER JOIN OrderDetails od ON o.OrderId = od.OrderId ORDER BY o.OrderId
C. - Lỗi hiểu sai: Người ta thường nhầm lẫn giữa `GROUP BY` và `ORDER BY`.
D. SELECT o.OrderId, SUM(od.Quantity) FROM Orders o LEFT JOIN OrderDetails od ON o.OrderId = od.OrderId GROUP BY o.OrderId</t>
  </si>
  <si>
    <t>Bạn cần lấy ra danh sách các sản phẩm mà khách hàng đã mua trong năm nay. Bảng Customers chứa thông tin về khách hàng, Orders chứa thông tin đơn hàng và OrderDetails lưu chi tiết từng sản phẩm. Cách thực hiện đúng là gì?
A. SELECT p.ProductName FROM Products p JOIN (SELECT ProductId FROM OrderDetails WHERE OrderId IN (SELECT OrderId FROM Orders WHERE YEAR(OrderDate) = YEAR(CURRENT_DATE()))) od ON p.ProductId = od.ProductId
B. - Lỗi hiểu sai: Người ta thường nhầm lẫn giữa `JOIN` và `IN`.  ✓
C. SELECT p.ProductName FROM Products p INNER JOIN OrderDetails od ON p.ProductId = od.ProductId WHERE od.OrderId IN (SELECT OrderId FROM Orders WHERE YEAR(OrderDate) = YEAR(CURRENT_DATE()))
D. - Đáp án đúng, nhưng để đáp án này ở vị trí thứ hai để tăng độ khó.</t>
  </si>
  <si>
    <t>Bảng Employees chứa thông tin nhân viên, trong khi Orders lưu thông tin đơn hàng. Bạn cần lấy ra danh sách các nhân viên cùng với tổng số lượng đơn hàng họ đã thực hiện. Cách thực hiện đúng là gì?
A. SELECT e.EmployeeName, COUNT(o.OrderId) FROM Employees e JOIN Orders o ON e.EmployeeId = o.EmployeeId GROUP BY e.EmployeeId  ✓
B. SELECT e.EmployeeName, COUNT(o.OrderId) FROM Employees e INNER JOIN Orders o ON e.EmployeeId = o.EmployeeId ORDER BY e.EmployeeId
C. - Lỗi hiểu sai: Người ta thường nhầm lẫn giữa `GROUP BY` và `ORDER BY`.
D. SELECT e.EmployeeName, COUNT(o.OrderId) FROM Employees e LEFT JOIN Orders o ON e.EmployeeId = o.EmployeeId GROUP BY e.EmployeeId</t>
  </si>
  <si>
    <t>Khi sử dụng Entity Framework Core để quản lý cơ sở dữ liệu của một cửa hàng bán lẻ, bạn phát hiện rằng tốc độ truy vấn thông tin về các sản phẩm chậm dù đã tối ưu hóa chỉ mục. Cách tiếp cận nào sau đây sẽ giúp cải thiện hiệu suất?
A. Tăng số lượng CPU trên máy chủ
B. Thay đổi phương thức truy vấn từ Include() sang ThenInclude()
C. Đổi Entity Framework Core thành ADO.NET
D. Thêm chỉ mục compound lên các cột thường được lọc cùng nhau  ✓</t>
  </si>
  <si>
    <t>Bạn cần thiết kế một hệ thống quản lý đơn hàng (Order) và chi tiết đơn hàng (OrderDetail). Trong trường hợp này, thuộc tính nào trong lớp Order sẽ được sử dụng để liên kết với nhiều OrderDetail?
A. public virtual ICollection&lt;OrderDetail&gt; OrderDetails { get; set; }  ✓
B. public virtual List&lt;OrderDetail&gt; Details { get; set; }
C. public virtual IEnumerable&lt;OrderDetail&gt; Orders { get; set; }
D. public virtual OrderDetail Detail { get; set; }</t>
  </si>
  <si>
    <t>Bạn đang phát triển một API RESTful cho ứng dụng quản lý dự án. Trong quá trình thử nghiệm, bạn nhận thấy rằng khi nhiều người dùng cùng lúc truy cập vào API để lấy danh sách các dự án của họ, thời gian phản hồi trở nên chậm chạp. Bạn đã kiểm tra và xác định rằng vấn đề nằm ở việc xử lý dữ liệu trong hàm xử lý yêu cầu. Để cải thiện hiệu suất, bạn nên làm gì?
A. Tăng số lượng CPU trên máy chủ
B. Sử dụng LINQ để tối ưu hóa truy vấn cơ sở dữ liệu
C. Chuyển đổi từ phương thức GET sang POST cho tất cả các API
D. Tách xử lý dữ liệu ra khỏi hàm xử lý yêu cầu và sử dụng Task.Run để thực hiện đồng thời  ✓</t>
  </si>
  <si>
    <t>Một ứng dụng của bạn sử dụng microservices, trong đó có một microservice xử lý gửi thông báo qua dịch vụ tin nhắn SMS. Tuy nhiên, bạn nhận thấy rằng đôi khi quá trình này bị chậm trễ đáng kể, thậm chí lên đến 30 giây. Dịch vụ SMS thường phản hồi trong khoảng 1-2 giây. Để cải thiện tình hình, cách tiếp cận tốt nhất là gì?
A. Tăng thời gian chờ đợi trong hàm gửi tin nhắn SMS để đảm bảo không bị lỗi timeout.
B. Sử dụng retry mechanism với độ trễ tăng dần để tự động thử lại khi gặp vấn đề.
C. Thay đổi dịch vụ SMS thành một microservice độc lập và sử dụng queueing system để tách biệt quá trình xử lý yêu cầu.  ✓
D. Giảm số lượng yêu cầu gửi SMS đồng thời để giảm tải cho dịch vụ SMS.</t>
  </si>
  <si>
    <t>Bạn phát hiện ra rằng một microservice thường xuyên gặp lỗi khi xử lý các yêu cầu lớn từ API gateway, dẫn đến tăng độ trễ và giảm hiệu suất của hệ thống. Để giải quyết vấn đề này, cách tiếp cận tốt nhất là gì?
A. Tăng số lượng instance của microservice để nâng cao khả năng chịu tải.
B. Giảm kích thước của các yêu cầu lớn từ API gateway để giảm áp lực lên microservice.
C. Sử dụng load balancer để phân tán tải lên nhiều instance của microservice.
D. Thay đổi microservice thành một batch processing task để xử lý yêu cầu lớn một cách hiệu quả.  ✓</t>
  </si>
  <si>
    <t>Bạn đang phát triển một ứng dụng .NET Framework cho doanh nghiệp. Sau khi triển khai, bạn nhận thấy ứng dụng chạy chậm và sử dụng nhiều bộ nhớ hơn mong đợi. Bạn đã tối ưu hóa mã nguồn nhưng hiệu suất vẫn không cải thiện. Hãy đề xuất cách tiếp cận hiệu quả nhất để giải quyết vấn đề này.
A. Tăng cường xử lý bằng cách thêm CPU mạnh hơn
B. Thay đổi cấu trúc cơ sở dữ liệu từ SQL Server sang MySQL
C. Đảm bảo tối ưu hóa mã nguồn và sử dụng các công cụ phân tích hiệu suất .NET  ✓
D. Giảm số lượng người dùng truy cập vào ứng dụng</t>
  </si>
  <si>
    <t>Trong một ứng dụng, bạn phát hiện rằng mỗi khi hiển thị danh sách bài viết, số lượng yêu cầu gửi đến cơ sở dữ liệu tăng lên theo số lượng người dùng đang online. Cách giải quyết hiệu quả nhất là gì?
A. Tạo index trên cột Ngày tạo
B. Thêm chỉ mục compound trên cột Người dùng và Ngày tạo
C. Chạy truy vấn vào ban đêm
D. Lưu kết quả truy vấn vào cache  ✓</t>
  </si>
  <si>
    <t>Một API đang xử lý yêu cầu GET /users?role=admin&amp;status=active. Bạn nhận thấy có thể xảy ra truy vấn SQL không hiệu quả do điều kiện kết hợp. Trong trường hợp này, cách tốt nhất để cải thiện là gì?
A. Thêm index trên cột role và status  ✓
B. Tạo một view chứa các điều kiện này
C. Sử dụng LINQ với .Where() thay vì sử dụng query string
D. Chia nhỏ API thành hai yêu cầu GET /users?role=admin và GET /users?status=active</t>
  </si>
  <si>
    <t>Một ứng viên senior lập trình viên .NET nhận được phản hồi từ đồng nghiệp rằng một phương thức API đang xử lý quá nhiều trách nhiệm. Trong trường hợp này, cách tốt nhất để cải thiện là gì?
A. Tăng số lượng comment trong phương thức
B. Chia nhỏ phương thức thành các phương thức con có chức năng rõ ràng hơn  ✓
C. Thêm try-catch vào đầu phương thức
D. Thay đổi tên phương thức để phản ánh trách nhiệm hiện tại</t>
  </si>
  <si>
    <t>Bạn đang phát triển một ứng dụng sử dụng CQRS và Repository pattern. Trong quá trình thử nghiệm, bạn nhận thấy rằng thao tác đọc dữ liệu từ database chậm hơn so với mong đợi. Bạn đã kiểm tra và xác định được vấn đề nằm ở layer Repository. Cách tiếp cận nào sau đây sẽ hiệu quả nhất để cải thiện vấn đề này?
A. Tăng số lượng thread trong pool của Entity Framework
B. Sử dụng caching tại layer Repository trước khi truy cập database  ✓
C. Thay đổi từ Entity Framework Core sang ADO.NET
D. Tối ưu hóa cấu trúc cây thư mục nơi lưu trữ các service xử lý CQRS</t>
  </si>
  <si>
    <t>Bạn đang phát triển một dịch vụ web trong .NET Framework, nhận yêu cầu từ nhiều khách hàng đồng thời. Một số phương thức của bạn không thread-safe và gây ra lỗi khi chạy cùng lúc. Hãy chọn cách giải quyết tốt nhất.
A. Tăng số luồng trong Application Pool để tăng khả năng xử lý đồng thời
B. Sử dụng `lock` statement hoặc `Mutex` để bảo vệ các phương thức không thread-safe  ✓
C. Thay đổi thiết kế API thành asynchronous và sử dụng `async/await` cho toàn bộ ứng dụng
D. Chuyển toàn bộ ứng dụng sang .NET Core vì nó tự động xử lý concurrency tốt hơn</t>
  </si>
  <si>
    <t>Caching (Redis)</t>
  </si>
  <si>
    <t>Ứng viên đang làm một ứng dụng thương mại điện tử với lưu lượng truy vấn lớn đến cơ sở dữ liệu. Họ nhận thấy rằng việc truy xuất thông tin sản phẩm thường xuyên gây ra áp lực lớn lên cơ sở dữ liệu. Cách tiếp cận hiệu quả nhất để giảm tải này là gì?
A. Tăng kích thước bộ nhớ cache trong Redis để lưu trữ thông tin sản phẩm phổ biến, từ đó giảm số lần truy vấn đến cơ sở dữ liệu.  ✓
B. Thêm chỉ mục trên bảng Sản phẩm để tăng tốc độ truy xuất dữ liệu từ cơ sở dữ liệu.
C. Sử dụng Entity Framework caching nhưng không cài đặt chính xác, dẫn đến việc bộ nhớ cache không được sử dụng hiệu quả.
D. Giảm số lượng truy vấn đến cơ sở dữ liệu bằng cách tinh chỉnh các yêu cầu API của ứng dụng.</t>
  </si>
  <si>
    <t>Bạn đang phát triển một ứng dụng React với nhiều component con, mỗi component đều có nhiều props và state. Khi thực hiện render, bạn nhận thấy hiệu suất giảm đáng kể. Để tối ưu hóa hiệu suất, bạn nên làm gì?
A. Sử dụng shouldComponentUpdate để kiểm soát việc re-render  ✓
B. Tăng số lượng CPU trên máy chủ
C. Đổi từ useState thành useReducer
D. Loại bỏ tất cả các props và state không cần thiết</t>
  </si>
  <si>
    <t>Một component React của bạn đang được render nhiều lần trong vòng lặp for, dẫn đến hiệu suất kém. Để tối ưu hóa hiệu suất, bạn nên làm gì?
A. Tăng số lượng CPU trên máy chủ
B. Sử dụng key unique cho mỗi item trong vòng lặp  ✓
C. Loại bỏ tất cả các props và state không cần thiết
D. Đổi từ useState thành useReducer</t>
  </si>
  <si>
    <t>Bạn đang viết test cho một component React sử dụng useState hook để quản lý state. State không thay đổi như mong đợi khi bạn giả lập sự kiện. Cách tiếp cận tốt nhất để kiểm tra state này là gì?
A. Kiểm tra trực tiếp giá trị state trong component sau khi render
B. Sử dụng `act` wrapper từ React Testing Library để đảm bảo các thao tác DOM được thực thi đúng cách  ✓
C. Đặt một timeout ngắn trước khi kiểm tra state, hy vọng state sẽ tự động cập nhật
D. Sử dụng `fireEvent` để giả lập sự kiện và xem state có thay đổi theo dự kiến hay không</t>
  </si>
  <si>
    <t>Bạn đang phát triển một ứng dụng web sử dụng React. Một component hiện tại được sử dụng ở nhiều nơi trên trang, nhưng bạn nhận thấy rằng việc duy trì và cập nhật code của nó trở nên khó khăn. Để tối ưu hóa code và đảm bảo tính tái sử dụng, bạn nên làm gì tiếp theo?
A. Để component này riêng lẻ không liên kết với state hoặc props
B. Chuyển đổi component thành một function component bình thường
C. Tạo một hook để quản lý state chung cho component
D. Tạo một custom component và đặt nó vào thư mục src/components  ✓</t>
  </si>
  <si>
    <t>Bạn đang phát triển một ứng dụng React với nhiều component con sâu 3 cấp, mỗi component cần truy cập state từ parent. Để tối ưu hiệu suất và quản lý state một cách dễ dàng, bạn nên sử dụng Redux hay Context API?
A. Redux
B. Context API  ✓
C. useState
D. useReducer</t>
  </si>
  <si>
    <t>Khi chuyển đổi từ Context API sang Redux trong ứng dụng React của bạn, bạn gặp vấn đề về hiệu suất do dispatch action quá nhiều lần. Để cải thiện tình hình này, bạn nên thực hiện điều gì?
A. Tăng số lượng action
B. Giảm số lượng component sử dụng context
C. Sử dụng memoization trong hooks
D. Tối ưu hóa action creator và reducer  ✓</t>
  </si>
  <si>
    <t>Bạn đang phát triển một ứng dụng React với nhiều trang (routes) và muốn tích hợp REST API để tải dữ liệu. Tuy nhiên, bạn nhận thấy rằng mỗi khi thay đổi route, dữ liệu được tải lại dù không cần thiết. Để tối ưu hóa hiệu suất, bạn nên sử dụng phương pháp nào sau đây?
A. Tạo các component mới cho mỗi route và gọi fetch data trong constructor của component
B. Sử dụng Context API để chia sẻ state giữa các component con
C. Thiết lập một hook custom để quản lý state và lifecycle của request  ✓
D. Thêm nhiều dependencies vào useEffect để đảm bảo fetch data khi thay đổi route</t>
  </si>
  <si>
    <t>Khi bạn thay đổi state trong ứng dụng React và component được re-render, virtual DOM sẽ xử lý như thế nào để tối ưu hóa quá trình này?
A. Tạo ra một bản sao hoàn toàn mới của DOM gốc
B. So sánh các thay đổi giữa cây DOM hiện tại và cây DOM trước đó, chỉ cập nhật những phần đã thay đổi  ✓
C. Xóa bỏ tất cả các node trong DOM gốc để tạo lại từ đầu
D. Gửi yêu cầu render đầy đủ đến server để nhận về một phiên bản mới của giao diện</t>
  </si>
  <si>
    <t>Khi ứng dụng React của bạn gặp vấn đề với hiệu năng khi hiển thị nhiều component động, bạn nhận thấy việc render lại các component không cần thiết đang làm chậm giao diện. Cách tối ưu hiệu năng tốt nhất là gì?
A. Tăng số lượng CPU trên máy chủ
B. Sử dụng `React.memo` để ngăn chặn render không cần thiết  ✓
C. Thay đổi state thường xuyên hơn
D. Đóng băng (Freeze) component khi không sử dụng</t>
  </si>
  <si>
    <t>Trong quá trình phát triển, bạn nhận thấy rằng việc tải trang mất nhiều thời gian do các asset như hình ảnh và CSS chưa được tối ưu. Để cải thiện vấn đề này, bạn nên thực hiện điều gì?
A. Tăng số lượng server
B. Sử dụng CDN để phân tán tải  ✓
C. Thay đổi state thường xuyên hơn
D. Đóng băng (Freeze) component khi không sử dụng</t>
  </si>
  <si>
    <t>Có bảng Sales với cột OrderID, ProductName và TotalPrice. Bạn cần tính tổng doanh thu theo từng sản phẩm và hiển thị top 5 sản phẩm có doanh thu cao nhất. Cách thực hiện hiệu quả nhất là gì?
A. Sử dụng GROUP BY để tách các sản phẩm ra riêng lẻ, sau đó sử dụng ORDER BY và LIMIT để lấy top 5
B. Sử dụng WINDOW FUNCTION SUM() OVER (PARTITION BY ProductName) kết hợp với ROW_NUMBER() hoặc RANK() để xác định top 5  ✓
C. Sử dụng JOIN giữa bảng Sales với một bảng chứa danh sách các sản phẩm, sau đó tính tổng doanh thu
D. Sử dụng SUBQUERY để tính tổng doanh thu cho mỗi sản phẩm và sau đó sử dụng ORDER BY và LIMIT để lấy top 5</t>
  </si>
  <si>
    <t>Có bảng Orders và OrderDetails. Bạn cần tính tổng số lượng sản phẩm đã bán theo từng CustomerId. Cách viết CTE hiệu quả nhất là gì?
A. SELECT c.CustomerId, SUM(od.Quantity) AS TotalQuantity FROM (SELECT DISTINCT CustomerId FROM Orders) c LEFT JOIN OrderDetails od ON c.CustomerId = od.OrderId GROUP BY c.CustomerId
B. WITH SalesCTE AS (SELECT o.CustomerId, od.Quantity FROM Orders o INNER JOIN OrderDetails od ON o.Id = od.OrderId) SELECT CustomerId, SUM(Quantity) AS TotalQuantity FROM SalesCTE GROUP BY CustomerId  ✓
C. SELECT DISTINCT CustomerId, SUM(od.Quantity) AS TotalQuantity FROM Orders o INNER JOIN OrderDetails od ON o.Id = od.OrderId GROUP BY CustomerId
D. WITH SalesCTE AS (SELECT o.CustomerId, od.Quantity FROM Orders o LEFT JOIN OrderDetails od ON o.Id = od.OrderId WHERE od.Quantity IS NOT NULL) SELECT CustomerId, SUM(Quantity) AS TotalQuantity FROM SalesCTE GROUP BY CustomerId</t>
  </si>
  <si>
    <t>Một ứng dụng của bạn đang xử lý hàng nghìn request mỗi giây. Bạn nhận thấy rằng việc truy vấn cơ sở dữ liệu SQL thường xuyên là điểm yếu hiệu năng. Cách tiếp cận nào sau đây sẽ giúp cải thiện hiệu suất?
A. Tăng số lượng CPU
B. Thay đổi cài đặt MySQL
C. Sử dụng SQLAlchemy ORM
D. Chuyển sang sử dụng SQLAlchemy Core  ✓</t>
  </si>
  <si>
    <t>Bạn cần tạo một hàm để tính toán trung bình cộng của các giá trị trong một mảng số. Tuy nhiên, bạn muốn đảm bảo rằng không có giá trị NaN xuất hiện trong kết quả. Cách viết hàm nào sau đây là đúng?
A. np.mean(arr)
B. np.nanmean(arr)  ✓
C. np.average(arr)
D. np.median(arr)</t>
  </si>
  <si>
    <t>Bạn đang làm việc với một DataFrame lớn chứa nhiều cột và hàng. Bạn muốn tìm kiếm nhanh chóng các dòng có giá trị NaN trong một cột cụ thể. Phương pháp nào sau đây sẽ giúp bạn thực hiện điều này?
A. df[df['column_name'].isna()]  ✓
B. df.loc[df['column_name'] == np.nan]
C. df[df['column_name'].notnull()]
D. df[df['column_name'].fillna(True)]</t>
  </si>
  <si>
    <t>Một ứng dụng sử dụng Spark để xử lý dữ liệu từ HDFS và một cơ sở dữ liệu SQL. Bạn phát hiện rằng việc đọc dữ liệu từ HDFS chậm và gây ra hiệu suất thấp. Cách tiếp cận tốt nhất để cải thiện vấn đề này là gì?
A. Tăng dung lượng bộ nhớ cache trong Spark
B. Thay đổi phương thức đọc dữ liệu thành cách khác không liên quan đến hiệu suất (ví dụ: sử dụng một thư viện đọc file không phù hợp)
C. Kiểm tra và tối ưu hóa cấu hình HDFS để cải thiện tốc độ truy xuất
D. Tăng kích thước block trong HDFS để giảm số lượng read request  ✓</t>
  </si>
  <si>
    <t>Airflow hoặc công cụ orchestration tương đương</t>
  </si>
  <si>
    <t>Một dự án đang gặp vấn đề với việc xử lý dữ liệu từ nhiều nguồn khác nhau, dẫn đến các tác vụ bị chậm và không đồng bộ. Bạn đã được giao trách nhiệm cải thiện hiệu suất này. Cách tiếp cận tốt nhất là gì?
A. Tăng cường máy chủ lưu trữ dữ liệu
B. Đơn giản hóa cấu trúc dữ liệu đầu vào
C. Thay đổi ngôn ngữ lập trình của các tác vụ
D. Sử dụng Apache Airflow để quản lý và điều phối các tác vụ  ✓</t>
  </si>
  <si>
    <t>Doanh nghiệp A đã bán hàng với giá trị 50 triệu đồng cho khách hàng B. Khách hàng B thanh toán sau 3 tháng. Bút toán ghi nhận khi bán hàng và khi nhận tiền đúng là gì?
A. Nợ Hàng hóa / Có Doanh thu, Nợ Tiền mặt / Có Doanh thu
B. Nợ Doanh thu / Có Hàng hóa, Nợ Tiền mặt / Có Doanh thu
C. Nợ Doanh thu / Có Hàng hóa, Nợ Tiền gửi / Có Doanh thu
D. Nợ Hàng hóa / Có Doanh thu, Nợ Tiền gửi / Có Doanh thu  ✓</t>
  </si>
  <si>
    <t>Doanh nghiệp A mua hàng hóa trị giá 150 triệu đồng từ nhà cung cấp B nhưng chưa thanh toán. Bút toán ghi nhận đúng là gì?
A. Nợ Hàng hóa / Có Phải trả người bán, Nợ Tiền mặt / Có Phải trả người bán
B. Nợ Phải trả người mua / Có Hàng hóa, Nợ Tiền mặt / Có Phải trả người bán
C. Nợ Hàng hóa / Có Phải trả người bán, Nợ Tiền gửi / Có Phải trả người bán
D. Nợ Phải trả người bán / Có Hàng hóa, Nợ Tiền mặt / Có Phải trả người bán  ✓</t>
  </si>
  <si>
    <t>Doanh nghiệp bán hàng với khách hàng trên tín dụng và nhận tiền vào ngày 15 tháng sau khi giao hàng. Để phản ánh khoản thu này, bút toán kế toán nào là chính xác?
A. Nợ Tiền mặt / Có Doanh thu
B. Nợ Hàng hóa / Có Phải trả khách hàng
C. Nợ Phải thu khách hàng / Có Doanh thu  ✓
D. Nợ Doanh thu / Có Hàng hóa</t>
  </si>
  <si>
    <t>Doanh nghiệp bán một lô hàng với giá 50 triệu đồng, trong đó khách đã thanh toán trước 20 triệu đồng. Hạch toán ghi nhận doanh thu như thế nào?
A. Nợ Tiền mặt / Có Doanh thu
B. Nợ Hàng hóa / Có Doanh thu
C. Nợ Tiền mặt / Có Tiền mặt
D. Nợ Phải thu khách hàng / Có Doanh thu  ✓</t>
  </si>
  <si>
    <t>Doanh nghiệp mua nguyên liệu với giá 10 triệu đồng, nhưng được giảm giá 2 triệu đồng. Bút toán ghi nhận đúng là gì?
A. Nợ Hàng hóa / Có Phải trả người bán
B. Nợ Hàng hóa / Có Tiền mặt
C. Nợ Hàng hóa / Có Chi phí khác  ✓
D. Nợ Hàng hóa / Có Phải thu khách hàng</t>
  </si>
  <si>
    <t>Khi lập báo cáo tài chính hàng quý, bạn phát hiện có nhiều dòng dữ liệu không rõ ràng. Cách tốt nhất để xử lý vấn đề này là gì?
A. Tạo một sheet riêng để lưu trữ và đánh dấu các dòng dữ liệu không rõ
B. Xóa tất cả các dòng dữ liệu không rõ ràng vì chúng gây nhầm lẫn
C. Gửi email cho bộ phận kế toán yêu cầu giải thích về những dòng dữ liệu này
D. Sử dụng công thức IF để tự động kiểm tra và ghi chú vào cột chú thích  ✓</t>
  </si>
  <si>
    <t>Doanh nghiệp bạn đang muốn phân tích xu hướng doanh thu qua các tháng. Tuy nhiên, dữ liệu hiện tại được sắp xếp theo ngày. Cách tốt nhất để thực hiện phân tích này là gì?
A. Tạo một bảng mới và sử dụng công thức SUMIF để tổng hợp theo tháng
B. Sử dụng công cụ PivotTable để tự động chuyển đổi và tổng hợp dữ liệu theo tháng  ✓
C. Chỉ lấy các ngày trong tháng đầu tiên của mỗi tháng để phân tích vì chúng là đại diện tốt nhất cho tháng đó
D. In ra giấy và tay gạch chéo các hàng không cần thiết</t>
  </si>
  <si>
    <t>Khi nhận được một hóa đơn thanh toán có thông tin sai lệch, kế toán viên nên xử lý như thế nào?
A. Gửi lại cho bộ phận mua hàng để kiểm tra lại thông tin
B. Đưa vào sổ sách và tiếp tục xử lý các chứng từ khác
C. Tạm giữ hóa đơn và báo cáo với trưởng phòng kế toán  ✓
D. Xóa bỏ hóa đơn không hợp lệ khỏi hồ sơ</t>
  </si>
  <si>
    <t>Doanh nghiệp cần lập báo cáo tài chính theo Thông tư 200 cho quý III năm 2023. Trong quá trình này, kế toán viên phát hiện một số khoản chi phí chưa được phân bổ vào các đơn vị sản phẩm. Kế toán viên nên làm gì để đảm bảo tuân thủ đúng Thông tư 200?
A. Tạm ghi nhận vào tài khoản Chi phí sản xuất kinh doanh và điều chỉnh sau khi có thông tin đầy đủ  ✓
B. Đưa toàn bộ số tiền vào tài khoản Chi phí quản lý doanh nghiệp để tránh phức tạp hóa công việc kế toán
C. Tạm không ghi nhận để tránh làm chậm tiến độ lập báo cáo, sẽ xử lý sau
D. Phân bổ các chi phí này theo tỷ lệ công suất sử dụng của từng đơn vị sản phẩm</t>
  </si>
  <si>
    <t>Theo dõi công nợ phải thu/phải trả, đối chiếu số liệu</t>
  </si>
  <si>
    <t>Doanh nghiệp của bạn đang đối mặt với tình trạng công nợ phải thu kéo dài. Bạn nhận thấy một số khách hàng chưa thanh toán đúng hạn, trong khi đó các khoản phải trả cũng tăng lên do nhập hàng từ nhà cung cấp. Cách tiếp cận hiệu quả nhất để quản lý tình hình này là gì?
A. Tăng cường việc theo dõi công nợ phải thu và phải trả thông qua hệ thống phần mềm kế toán, đồng thời gửi nhắc nhở khách hàng về khoản nợ chưa thanh toán.  ✓
B. Giảm giá cho các nhà cung cấp để giảm bớt áp lực về khoản phải trả.
C. Tạm dừng việc bán hàng cho những khách hàng có công nợ kéo dài.
D. Chuyển toàn bộ công nợ phải thu và phải trả sang một công ty khác quản lý.</t>
  </si>
  <si>
    <t>Khi tiếp cận một khách hàng mới trong ngành công nghiệp nặng, bạn nhận thấy họ đang sử dụng nhiều nhà cung cấp khác nhau. Bạn đã thực hiện nghiên cứu và phát hiện ra rằng chi phí tổng thể có thể giảm đáng kể nếu chuyển sang sản phẩm của bạn. Cách tiếp cận tốt nhất để thuyết phục họ chuyển đổi là gì?
A. Chỉ ra lợi ích về chi phí tổng thể và chất lượng sản phẩm
B. Hứa hẹn giảm giá 20% ngay lập tức
C. Thề thệ rằng bạn sẽ duy trì mối quan hệ lâu dài với họ
D. Cung cấp một bản sao của báo cáo nghiên cứu thị trường  ✓</t>
  </si>
  <si>
    <t>Sau khi tư vấn cho khách hàng về giải pháp phù hợp, khách hàng yêu cầu thêm thời gian để cân nhắc. Bạn nên làm gì tiếp theo?
A. Hẹn lại cuộc gọi sau một tuần
B. Gửi email với thông tin chi tiết và liên hệ hỗ trợ kỹ thuật  ✓
C. Thách thức quyết định của họ là không đúng
D. Bỏ qua yêu cầu và chuyển sang khách hàng khác</t>
  </si>
  <si>
    <t>Trong quá trình đàm phán, khách hàng đưa ra một điều khoản mà bạn cho rằng không công bằng. Cách xử lý phù hợp nhất là?
A. Đồng ý ngay để giữ mối quan hệ
B. Thỏa thuận một cách linh hoạt nhưng vẫn bảo vệ lợi ích của công ty  ✓
C. Từ chối và kết thúc cuộc đàm phán
D. Bảo lưu thông tin này cho lần tiếp xúc sau</t>
  </si>
  <si>
    <t>Khách hàng đã xem sản phẩm của bạn nhưng từ chối mua vì giá cao. Bạn nên làm gì tiếp theo?
A. Trả lời khách hàng rằng giá là hợp lý và không thể giảm
B. Hỏi khách hàng về nguyên nhân cụ thể để tìm hiểu thêm nhu cầu của họ  ✓
C. Giảm giá ngay lập tức để thuyết phục khách hàng mua sản phẩm
D. Kết thúc cuộc trò chuyện vì khách hàng đã từ chối</t>
  </si>
  <si>
    <t>Khi chạy quảng cáo Facebook Ads cho một sản phẩm mới, bạn phát hiện rằng tỷ lệ nhấp (CTR) thấp hơn so với kỳ vọng. Bạn đã kiểm tra và điều chỉnh nội dung quảng cáo nhưng không cải thiện được. Bước tiếp theo bạn nên thực hiện là gì?
A. Tăng ngân sách quảng cáo
B. Thay đổi thời gian hiển thị quảng cáo
C. Kiểm tra lại đối tượng mục tiêu
D. Xem xét lại chiến lược nội dung  ✓</t>
  </si>
  <si>
    <t>Bạn đang chạy một chiến dịch Google Ads cho sản phẩm mới, nhưng nhận thấy tỷ lệ nhấp chuột (CTR) thấp và chi phí mỗi lượt nhấp (CPC) cao. Để cải thiện tình hình này, bạn nên thực hiện bước đầu tiên nào sau đây?
A. Tăng ngân sách quảng cáo để tăng số lượng hiển thị
B. Thay đổi từ khóa thành các từ khóa cụ thể hơn và bao quát hơn
C. Kiểm tra và tối ưu hóa tiêu đề và mô tả quảng cáo để thu hút sự chú ý của người dùng  ✓
D. Thêm nhiều hình ảnh quảng cáo vào chiến dịch</t>
  </si>
  <si>
    <t>Một chiến dịch Google Ads đang có hiệu suất tốt về lượt nhấp (CTR) nhưng chi phí vượt quá dự kiến. Để cải thiện tình hình này, bạn nên thực hiện điều gì?
A. Giảm ngân sách cho chiến dịch để giảm chi phí
B. Tăng giá thầu tối đa (Max CPC) của từ khóa để tăng vị trí hiển thị
C. Thay đổi thời gian hiển thị quảng cáo để tập trung vào giờ cao điểm
D. Xây dựng lại cấu trúc nhóm từ khóa, loại bỏ những từ khóa không hiệu quả  ✓</t>
  </si>
  <si>
    <t>Bạn đang quản lý một chiến dịch quảng cáo và phát hiện CTR thấp (3%) và CPC cao ($2). Để cải thiện hiệu suất này, bạn nên thực hiện thay đổi nào sau đây?
A. Tăng ngân sách quảng cáo lên $500
B. Giảm giá thầu cho từ khóa 'giảm cân' từ $1.5 xuống $1
C. Thay đổi tiêu đề quảng cáo thành 'Giảm 2kg trong tuần đầu tiên'  ✓
D. Tăng số lượng quảng cáo hiển thị lên 300</t>
  </si>
  <si>
    <t>Chiến dịch quảng cáo của bạn đang có ROAS thấp, chỉ đạt 1.5. Để cải thiện tình hình này, bạn nên tập trung vào việc tối ưu hóa điều gì?
A. Tăng ngân sách cho quảng cáo lên $200
B. Giảm giá thầu cho từ khóa 'giảm cân' từ $1.5 xuống $1  ✓
C. Thay đổi thiết kế banner quảng cáo để thu hút hơn
D. Tăng số lượng khách hàng tiềm năng lên 50%</t>
  </si>
  <si>
    <t>Một chiến dịch email marketing đã thực hiện xong nhưng bạn nhận thấy hiệu suất chuyển đổi thấp. Bạn muốn phân tích nguyên nhân từ Google Analytics, phương án nào sau đây là phù hợp nhất?
A. Kiểm tra tỷ lệ nhấp chuột (CTR) và chuyển đổi trực tiếp trên trang web
B. Xem số lượng người mở email thông qua tham số 'Event Label' trong Google Analytics  ✓
C. Theo dõi hành vi người dùng trước và sau khi nhận được email thông qua session
D. Xem xét lại nội dung email để đảm bảo phù hợp với đối tượng mục tiêu</t>
  </si>
  <si>
    <t>Bạn phát hiện ra rằng có một số lượng lớn khách truy cập từ nguồn referral nhưng không chuyển đổi. Bạn nên tập trung phân tích dữ liệu nào trong Google Analytics?
A. Tỷ lệ thoát (%) và hành trình trang của khách truy cập  ✓
B. Thời gian truy cập trang (Average Session Duration)
C. Số lượng truy vấn tìm kiếm dẫn đến trang web
D. Chi phí quảng cáo từ nguồn referral</t>
  </si>
  <si>
    <t>Chiến dịch marketing mới của công ty đã kết thúc và bạn nhận thấy có sự chênh lệch lớn giữa số liệu dự kiến và thực tế. Bạn cần lập báo cáo để phân tích nguyên nhân. Cách tiếp cận hiệu quả nhất là gì?
A. Tổng hợp các chỉ số quan trọng như ROI, CTR, CPC và so sánh với mục tiêu ban đầu
B. Phân tích từng kênh marketing riêng lẻ để xác định kênh nào mang lại hiệu quả thấp hơn dự kiến  ✓
C. Xem xét lại toàn bộ chiến lược marketing từ giai đoạn lên kế hoạch đến triển khai
D. Gửi email cho khách hàng và đối tác để thu thập phản hồi về chiến dịch</t>
  </si>
  <si>
    <t>Content đã hoàn thiện bài viết về sản phẩm mới nhưng design chưa kịp tạo mẫu hình ảnh. Để đảm bảo tiến độ dự án, bạn nên làm gì?
A. Tạm thời sử dụng hình ảnh placeholder và thông báo với team design để nhanh chóng tạo mẫu  ✓
B. Yêu cầu content đợi thêm 1 ngày cho design hoàn thiện
C. Hủy bỏ bài viết vì chưa có hình ảnh phù hợp
D. Đưa bài viết lên mạng xã hội mà không có hình ảnh</t>
  </si>
  <si>
    <t>Khi phỏng vấn một ứng viên, bạn nhận thấy họ không thể giải thích rõ ràng về kinh nghiệm làm việc trước đây. Bạn nên xử lý như thế nào?
A. Tạm dừng cuộc phỏng vấn và yêu cầu ứng viên cung cấp thêm thông tin
B. Hỏi tiếp các câu hỏi liên quan để hiểu rõ hơn về kinh nghiệm của họ  ✓
C. Đánh giá cao sự trung thực nhưng không đưa ra quyết định ngay lập tức
D. Kết thúc cuộc phỏng vấn sớm vì thấy ứng viên không phù hợp</t>
  </si>
  <si>
    <t>Ứng viên A nộp hồ sơ cho vị trí Chuyên viên Tuyển dụng với kinh nghiệm làm việc trong lĩnh vực khác. Trong mô tả công việc (JD), yêu cầu ứng viên phải có ít nhất 1 năm kinh nghiệm trong ngành tuyển dụng. Cách xử lý tốt nhất là gì?
A. Tư vấn ứng viên A không phù hợp và đề nghị họ nộp hồ sơ cho vị trí khác
B. Yêu cầu ứng viên A cung cấp thêm thông tin về kinh nghiệm làm việc liên quan đến tuyển dụng  ✓
C. Đánh giá kỹ năng của ứng viên A để xem có thể đào tạo bổ sung không
D. Tư vấn ứng viên A rằng họ vẫn có thể nộp hồ sơ và sẽ được xem xét</t>
  </si>
  <si>
    <t>Khi nhận hồ sơ ứng tuyển, bạn phát hiện một số hồ sơ không đầy đủ thông tin. Bạn nên làm gì tiếp theo?
A. Gửi email nhắc nhở ứng viên hoàn thiện hồ sơ  ✓
B. Lưu hồ sơ và liên hệ sau khi có thời gian rảnh
C. Tự động loại bỏ hồ sơ không đầy đủ
D. Yêu cầu HR kiểm tra lại thông tin</t>
  </si>
  <si>
    <t>Trong quá trình phỏng vấn, ứng viên A tỏ ra rất tự tin nhưng ứng viên B tỏ ra khá lo lắng. Bạn nên làm gì để đảm bảo công bằng?
A. Phỏng vấn A trước vì anh ấy tự tin
B. Cho B thêm thời gian chuẩn bị
C. Điều chỉnh thời lượng phỏng vấn cho phù hợp với từng ứng viên  ✓
D. Không thay đổi gì, tiếp tục theo kế hoạch</t>
  </si>
  <si>
    <t>Sau khi phỏng vấn, bạn nhận thấy một ứng viên có kỹ năng phù hợp nhưng không phù hợp với văn hóa công ty. Bạn nên làm gì?
A. Tư vấn ứng viên tìm cơ hội phù hợp hơn  ✓
B. Gửi offer cho ứng viên
C. Không gửi offer và giải thích lý do
D. Đưa ra offer với mức lương cao hơn</t>
  </si>
  <si>
    <t>Ứng viên A đã nộp hồ sơ cho một vị trí kỹ sư phần mềm, nhưng sau khi phỏng vấn, bạn nhận thấy họ có kinh nghiệm trong lĩnh vực khác. Bạn nên làm gì tiếp theo?
A. Gửi thông báo từ chối công việc và kết thúc cuộc phỏng vấn
B. Nói thẳng với ứng viên rằng họ không phù hợp với vị trí này
C. Giữ lại hồ sơ của ứng viên để xem xét trong tương lai nếu có vị trí phù hợp hơn
D. Hỏi ứng viên về mong muốn của họ và đưa ra lời khuyên chân thành  ✓</t>
  </si>
  <si>
    <t>Một khách hàng gọi điện phản ánh rằng sản phẩm của bạn gặp lỗi sau một thời gian sử dụng. Bạn nên làm gì đầu tiên?
A. Gợi ý cho khách hàng cách sử dụng sản phẩm khác
B. Xác nhận thông tin và cảm ơn khách hàng đã chia sẻ  ✓
C. Trình bày lý do tại sao sản phẩm không phù hợp
D. Yêu cầu khách hàng gửi lại sản phẩm để kiểm tra</t>
  </si>
  <si>
    <t>Một khách hàng liên tục gọi điện với nhiều câu hỏi về chính sách bảo hành. Bạn nên xử lý như thế nào?
A. Tránh trả lời trực tiếp và chuyển sang nhân viên khác
B. Giải thích chi tiết từng vấn đề theo quy định công ty
C. Hỏi khách hàng có cần hỗ trợ gì cụ thể không  ✓
D. Yêu cầu khách hàng gửi email để giải đáp sau</t>
  </si>
  <si>
    <t>Khách hàng gọi điện và than phiền rằng họ đã nhận sai sản phẩm. Nhân viên chăm sóc khách hàng nên làm gì đầu tiên?
A. Ghi chú lại vấn đề và thông báo với quản lý sau
B. Xin lỗi khách hàng, xác nhận thông tin và hướng dẫn giải quyết  ✓
C. Hẹn gặp trực tiếp khách hàng để giải quyết
D. Tư vấn cho khách hàng cách sử dụng sản phẩm khác</t>
  </si>
  <si>
    <t>Khách hàng gọi điện yêu cầu hỗ trợ về một vấn đề phức tạp mà nhân viên chưa từng gặp. Nhân viên nên làm gì?
A. Trả lời nhanh chóng dựa trên kinh nghiệm cá nhân
B. Hẹn gặp khách hàng vào ngày sau để giải quyết
C. Ghi chú lại và chuyển cho bộ phận chuyên môn xử lý  ✓
D. Tạm kết thúc cuộc gọi và tìm cách tự học</t>
  </si>
  <si>
    <t>Khách hàng gọi điện phản ánh rằng họ đã thanh toán hóa đơn nhưng vẫn nhận được thông báo thiếu tiền. Làm gì để xử lý tình huống này?
A. Ghi chú lại và chuyển cho bộ phận kỹ thuật
B. Xác minh thông tin thanh toán với hệ thống và giải thích rõ ràng cho khách hàng  ✓
C. Hẹn gặp trực tiếp khách hàng tại văn phòng
D. Bảo đảm khách hàng rằng vấn đề sẽ được giải quyết nhưng không cung cấp thêm thông tin</t>
  </si>
  <si>
    <t>Một khách hàng gọi điện liên hệ về đơn hàng bị chậm trễ và thanh toán chưa rõ ràng. Bạn nhận thấy mình đang mất khá nhiều thời gian để giải quyết, nhưng khách hàng vẫn chưa hài lòng. Trong trường hợp này, cách tiếp cận tốt nhất là gì?
A. Tạm dừng cuộc gọi và thông báo với khách hàng rằng bạn cần thêm thời gian để xử lý vấn đề
B. Tiếp tục giải quyết từng vấn đề một cho đến khi khách hàng hài lòng
C. Hãy kiên nhẫn, lắng nghe kỹ lưỡng và đảm bảo khách hàng cảm thấy được tôn trọng, đồng thời đề xuất giải pháp nhanh chóng nhất có thể  ✓
D. Ghi chú lại yêu cầu của khách hàng và thông báo với quản lý để họ xử lý</t>
  </si>
  <si>
    <t>Một khách hàng gọi điện phản ánh rằng họ không nhận được thông báo về đơn đặt hàng mới. Bạn làm gì đầu tiên để giải quyết vấn đề này?
A. Gửi lại email xác nhận cho khách hàng
B. Yêu cầu khách hàng kiểm tra hộp thư đến của họ  ✓
C. Trả lời rằng bạn không thể giúp đỡ vì chưa tìm hiểu rõ nguyên nhân
D. Hẹn gặp trực tiếp với khách hàng để thảo luận về vấn đề</t>
  </si>
  <si>
    <t>Khi một khách hàng gọi điện yêu cầu hỗ trợ về sản phẩm, nhưng bạn không biết cách giải quyết vấn đề. Bạn sẽ làm gì?
A. Trả lời rằng bạn không thể giúp đỡ
B. Gợi ý cho khách hàng tìm kiếm thông tin trên trang web của công ty
C. Hẹn gặp trực tiếp với khách hàng để thảo luận
D. Ghi chú lại và chuyển đến bộ phận kỹ thuật  ✓</t>
  </si>
  <si>
    <t>Một dự án xây dựng nhà máy điện gió đang trong giai đoạn triển khai, nhưng khách hàng đề xuất thêm một khu vực cảng nhỏ để phục vụ vận chuyển nguyên liệu. Làm thế nào bạn sẽ quản lý phạm vi dự án khi có yêu cầu mới này?
A. Ghi chú lại và tiếp tục thực hiện các công việc không phù hợp với yêu cầu mới
B. Tổ chức cuộc họp với đội ngũ kỹ thuật để thảo luận về việc điều chỉnh kế hoạch xây dựng khu vực cảng nhỏ, đồng thời xem xét tác động đến tiến độ dự án  ✓
C. Thay đổi mục tiêu dự án hoàn toàn để tập trung vào khu vực cảng nhỏ
D. Bỏ qua yêu cầu này vì nó không nằm trong phạm vi ban đầu của dự án</t>
  </si>
  <si>
    <t>Trong quá trình triển khai hệ thống quản lý chất lượng, khách hàng đề xuất thêm một số chức năng mới. Làm thế nào bạn sẽ quản lý phạm vi dự án khi có yêu cầu này?
A. Từ chối yêu cầu vì chúng không nằm trong kế hoạch ban đầu
B. Ghi nhận yêu cầu nhưng không thay đổi kế hoạch hiện tại, tiếp tục theo dõi trong giai đoạn sau
C. Thay đổi kế hoạch dự án và điều chỉnh phạm vi dựa trên các yêu cầu mới  ✓
D. Hủy bỏ tất cả công việc hiện tại để tập trung vào yêu cầu mới</t>
  </si>
  <si>
    <t>Một dự án đang tiến hành nhưng đã vượt quá thời hạn ban đầu. Bạn nhận thấy rằng một số công việc không quan trọng đã bị thực hiện trước khi các công việc quan trọng hoàn thành. Trong tình huống này, bạn cần làm gì để điều chỉnh lịch trình và đảm bảo tiến độ của dự án?
A. Tiếp tục thực hiện công việc theo kế hoạch, bỏ qua những công việc không quan trọng
B. Đánh giá lại ưu tiên của các công việc và điều chỉnh lịch trình dự án  ✓
C. Tăng thêm nhân lực để hoàn thành tất cả công việc bị chậm trễ
D. Giao cho đội ngũ thực hiện công việc không quan trọng hơn để giải phóng thời gian cho công việc quan trọng</t>
  </si>
  <si>
    <t>Dự án của bạn đang tiến hành nhưng phát sinh một yêu cầu mới từ khách hàng. Yêu cầu này sẽ làm tăng chi phí và kéo dài thời gian dự án. Bạn cần làm gì để đảm bảo quản lý hiệu quả các thay đổi?
A. Từ chối yêu cầu vì nó vượt quá ngân sách và lịch trình hiện tại
B. Đánh giá tác động của yêu cầu mới, thảo luận với khách hàng về cách điều chỉnh kế hoạch để bao gồm yêu cầu này  ✓
C. Thực hiện yêu cầu mới ngay lập tức để đảm bảo hài lòng khách hàng
D. Gửi yêu cầu cho bộ phận quản lý dự án cấp cao quyết định</t>
  </si>
  <si>
    <t>Dự án của bạn đang gặp vấn đề về chi phí vượt ngân sách. Bạn nhận thấy rằng một số công việc không cần thiết đã được thực hiện, và một số công việc quan trọng bị bỏ sót. Cách tiếp cận hiệu quả nhất để kiểm soát chi phí trong trường hợp này là gì?
A. Tiếp tục thực hiện các công việc chưa hoàn thành mà không thay đổi kế hoạch
B. Tăng ngân sách dự án để bù đắp cho chi phí vượt quá
C. Giao trách nhiệm quản lý chi phí cho nhân viên mới để họ có thể đưa ra quyết định nhanh chóng
D. Đánh giá lại toàn bộ kế hoạch và cắt giảm các công việc không cần thiết, đồng thời bổ sung những công việc quan trọng bị bỏ sót  ✓</t>
  </si>
  <si>
    <t>Một dự án xây dựng đang tiến hành, nhưng do thay đổi quy hoạch đô thị, công trình phải tạm dừng. Quản lý dự án nên làm gì để giảm thiểu rủi ro và ảnh hưởng đến tiến độ?
A. Tiếp tục triển khai theo kế hoạch ban đầu vì thời gian chờ đợi không đáng kể.
B. Tạm ngừng toàn bộ dự án để tránh lãng phí nguồn lực.
C. Đề xuất phương án thay thế cho chủ đầu tư, như chuyển đổi mục đích sử dụng đất hoặc điều chỉnh thiết kế công trình.  ✓
D. Gửi thông báo cho các nhà thầu về việc tiếp tục làm việc và yêu cầu họ chuẩn bị cho tình huống bất lợi.</t>
  </si>
  <si>
    <t>Trong quá trình triển khai một hệ thống quản lý chất lượng mới, đội ngũ kỹ thuật gặp phải sự cố không thể xác định nguyên nhân. Quản lý dự án nên thực hiện bước đầu tiên nào?
A. Tạm ngừng sử dụng hệ thống để tránh rủi ro lớn hơn.
B. Gọi nhà cung cấp để yêu cầu hỗ trợ vì họ có trách nhiệm giải quyết vấn đề.
C. Đánh giá rủi ro và xác định các phương án giải quyết, bao gồm cả việc liên lạc với nhà cung cấp sau khi đánh giá.  ✓
D. Thay đổi đội ngũ kỹ thuật ngay lập tức để tránh ảnh hưởng đến tiến độ dự án.</t>
  </si>
  <si>
    <t>Một stakeholder quan trọng của dự án phản đối một quyết định đã được ban quản lý phê duyệt. Làm thế nào bạn sẽ xử lý tình huống này?
A. Tổ chức một cuộc họp với stakeholder để giải thích quyết định và tìm hiểu ý kiến của họ, sau đó xem xét lại quyết định nếu cần thiết.  ✓
B. Tránh thảo luận thêm về vấn đề này vì đã có quyết định cuối cùng từ ban quản lý.
C. Thông báo cho stakeholder rằng quyết định không thể thay đổi vì đã được phê duyệt.
D. Gửi email giải thích quyết định và yêu cầu stakeholder chấp nhận.</t>
  </si>
  <si>
    <t>Trong một dự án, bạn nhận thấy một số stakeholder không rõ ràng về mục tiêu chung của dự án. Bạn nên làm gì để cải thiện tình hình?
A. Lên kế hoạch tổ chức một buổi họp toàn thể để xác định và truyền đạt lại mục tiêu chung của dự án.  ✓
B. Gửi email cho tất cả stakeholder với các thông tin chi tiết về mục tiêu chung.
C. Tập trung vào công việc kỹ thuật, hy vọng stakeholder sẽ tự hiểu mục tiêu sau này.
D. Tránh thảo luận về mục tiêu chung vì nó không liên quan đến công việc hàng ngày.</t>
  </si>
  <si>
    <t>Áp dụng Agile/Scrum hoặc Waterfall</t>
  </si>
  <si>
    <t>Một dự án đang sử dụng Scrum và đã trải qua nhiều sprint nhưng vẫn gặp vấn đề về chất lượng sản phẩm. Quản lý dự án nên thực hiện điều gì để cải thiện tình hình?
A. Tăng số giờ làm việc mỗi ngày từ 8 giờ lên 10 giờ
B. Thay đổi phương pháp quản lý sang Waterfall để có quy trình rõ ràng hơn
C. Giảm số sprint trong dự án để tập trung vào chất lượng hơn
D. Đảm bảo các thành viên đội đều tham gia vào quá trình kiểm thử và cải tiến liên tục  ✓</t>
  </si>
  <si>
    <t>Một khách hàng gửi phản hồi rằng công trình của họ bị ảnh hưởng bởi rác thải không được thu gom đúng thời hạn. Bạn nhận được thông tin này vào buổi chiều thứ 5, ngày làm việc cuối tuần. Cách xử lý hiệu quả nhất là gì?
A. Gửi email cho khách hàng xác nhận và cam kết sẽ giải quyết trong tuần tới
B. Lập lịch ngay lập tức với đội thu gom rác để đến thu gom vào buổi sáng thứ 6  ✓
C. Ghi chú lại trong hệ thống và kiểm tra lại sau khi nghỉ lễ
D. Trả lời khách hàng rằng công ty đang bận và sẽ xử lý sớm nhất có thể</t>
  </si>
  <si>
    <t>Trong một buổi làm việc tại công ty, bạn phát hiện có một đồng nghiệp đang sử dụng điện thoại cá nhân trong giờ làm việc. Cách xử lý phù hợp nhất là gì?
A. Quên đi vì không ảnh hưởng đến công việc
B. Nhận biết và tách riêng để báo cáo cho quản lý
C. Ghi chú lại và tiếp tục làm việc của mình  ✓
D. Để yên cho họ, nhưng sau đó nói chuyện với đồng nghiệp về vấn đề này</t>
  </si>
  <si>
    <t>Trong quá trình phân loại rác thải, bạn nhận thấy một lượng lớn các sản phẩm nhựa tái chế bị nhầm lẫn vào lô hàng rác thông thường. Điều này làm giảm hiệu suất công việc và gây lãng phí thời gian. Cách tiếp cận tốt nhất để giải quyết vấn đề này là gì?
A. Tăng cường đào tạo cho nhân viên phân loại về cách nhận biết sản phẩm nhựa tái chế  ✓
B. Giảm số lượng rác thải cần xử lý mỗi ngày
C. Thay đổi lịch làm việc của nhân viên để họ có thêm thời gian nghỉ ngơi
D. Gửi thông báo cho khách hàng yêu cầu giảm bớt sử dụng nhựa</t>
  </si>
  <si>
    <t>Bạn đang quản lý một dự án lớn với dữ liệu từ nhiều nguồn khác nhau. Trong quá trình xử lý, bạn gặp phải chuỗi văn bản chứa cả chữ và số lẫn ký tự đặc biệt, khiến quy trình hiện tại không thể xử lý hiệu quả. Cách tiếp cận tốt nhất để giải quyết vấn đề này là gì?
A. Tạo một quy tắc mới trong hệ thống lọc rác để loại bỏ tất cả các chuỗi không phải là chữ hoặc số.
B. Ghi chú lại những trường hợp này và tiếp tục sử dụng quy trình hiện tại, hy vọng chúng sẽ tự động được xử lý theo thời gian.
C. Tăng cường bộ lọc rác bằng cách thêm nhiều điều kiện hơn vào hệ thống hiện tại, dù biết rằng điều này có thể làm giảm hiệu suất tổng thể.
D. Xây dựng một hàm xử lý riêng cho trường hợp đặc biệt này, sau đó tích hợp vào quy trình hiện tại, đảm bảo tính linh hoạt và khả năng mở rộng của hệ thống.  ✓</t>
  </si>
  <si>
    <t>Trong một buổi dọn vệ sinh công cộng, bạn phát hiện một túi rác nhựa đang tràn ra và có dấu hiệu bị đâm rách. Trước khi tiếp tục thu gom rác khác, bạn nên làm gì đầu tiên?
A. Tiếp tục thu gom rác khác vì công việc còn nhiều
B. Đóng gói lại túi rác để ngăn chặn việc tràn rác
C. Thử tìm hiểu nguyên nhân tại sao túi rác bị rách
D. Ghi chú lại vị trí và tình trạng của túi rác, báo cáo cho quản lý ngay lập tức  ✓</t>
  </si>
  <si>
    <t>Trong một dự án phát triển ứng dụng quản lý rác thải, đội ngũ của bạn đã gặp phải sự cố khi hệ thống không xử lý được các trường hợp ngoại lệ như rác thải nguy hiểm. Trong cuộc họp nhóm, mọi người đề xuất nhiều cách tiếp cận khác nhau. Cách tiếp cận nào dưới đây là tốt nhất để giải quyết vấn đề này?
A. Tập trung phát triển tính năng chính và xem xét các trường hợp ngoại lệ sau này
B. Xây dựng một quy trình kiểm thử riêng biệt cho các trường hợp ngoại lệ
C. Thảo luận với đội ngũ về cách xử lý rác thải nguy hiểm và tích hợp vào hệ thống từ đầu  ✓
D. Tạo một nhóm nhỏ chuyên trách để nghiên cứu và giải quyết các trường hợp ngoại lệ</t>
  </si>
  <si>
    <t>Trong một buổi dọn vệ sinh công viên, bạn phát hiện một khu vực có nhiều túi nilon và chai nhựa bị vỡ. Để đảm bảo môi trường được xử lý đúng cách, bạn nên làm gì?
A. Ghi chú lại để nhân viên sau này xử lý
B. Đưa tất cả vào thùng rác thông thường
C. Tách riêng ra, đeo găng tay và cẩn thận thu gom từng món  ✓
D. Nhận định đây không phải là công việc của mình và bỏ qua</t>
  </si>
  <si>
    <t>Khi soạn thảo báo cáo về doanh thu quý, bạn phát hiện một lỗi chính tả quan trọng. Bạn nên làm gì để đảm bảo chất lượng văn bản?
A. Gửi cho đồng nghiệp xem trước và không chỉnh sửa
B. Đặt lịch trình kiểm tra lại sau 1 tuần
C. Chỉnh sửa ngay lập tức và lưu phiên bản mới, sau đó gửi cho giám đốc duyệt  ✓
D. Không cần chỉnh sửa vì đã gửi cho giám đốc</t>
  </si>
  <si>
    <t>Bạn đang sử dụng Excel để phân tích dữ liệu doanh thu. Dữ liệu có nhiều ô trống không rõ nguyên nhân. Cách tốt nhất để xác định các ô trống này là gì?
A. Xóa toàn bộ dữ liệu và nhập lại từ đầu
B. Tìm kiếm trực quan từng dòng một, mất thời gian nhưng chắc chắn
C. Sử dụng công thức COUNTA để đếm số ô chứa giá trị, nhanh chóng và chính xác  ✓
D. Đặt màu nền cho các ô trống, không giúp xác định nguyên nhân</t>
  </si>
  <si>
    <t>Bạn cần tạo một trình chiếu thuyết trình về dự án. Tuy nhiên, bạn nhận thấy hình ảnh trong slide không rõ nét. Cách khắc phục hiệu quả nhất là gì?
A. Tăng độ phân giải của máy tính, không liên quan đến hình ảnh
B. Thay đổi kích thước font chữ, không cải thiện chất lượng hình ảnh
C. Chỉnh sửa hình ảnh bằng phần mềm chỉnh sửa ảnh, mất thời gian nhưng có thể cải thiện
D. Đảm bảo hình ảnh được lưu ở định dạng JPEG, giữ nguyên độ phân giải gốc  ✓</t>
  </si>
  <si>
    <t>Một khách hàng liên tục hủy và đặt lại lịch hẹn với chuyên viên văn phòng. Bạn nhận thấy rằng việc này đang làm gián đoạn công việc của cả đội. Cách xử lý hiệu quả nhất là gì?
A. Tăng cường đào tạo kỹ năng giao tiếp cho nhân viên
B. Thiết lập quy trình xác nhận lịch hẹn qua email trước 24 giờ  ✓
C. Gửi thông báo nhắc nhở về lịch hẹn vào buổi sáng
D. Cho phép khách hàng tự hủy và đặt lại lịch hẹn trực tuyến</t>
  </si>
  <si>
    <t>Chuyên viên văn phòng nhận được yêu cầu từ một bộ phận khác để thay đổi lịch họp của sếp. Tuy nhiên, sếp đang bận với một dự án quan trọng và không thể thay đổi lịch trình. Cách xử lý phù hợp nhất là gì?
A. Thay đổi lịch họp ngay lập tức theo yêu cầu
B. Gửi email cho bộ phận khác giải thích tình hình
C. Yêu cầu sếp xác nhận lại lịch họp trước khi thực hiện  ✓
D. Từ chối thay đổi lịch họp và không thông báo cho bất kỳ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</si>
</sst>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3"/>
      <name val="Calibri"/>
    </font>
    <font>
      <b/>
      <sz val="11"/>
      <name val="Calibri"/>
    </font>
  </fonts>
  <fills count="4">
    <fill>
      <patternFill patternType="none"/>
    </fill>
    <fill>
      <patternFill patternType="gray125"/>
    </fill>
    <fill>
      <patternFill patternType="solid">
        <fgColor rgb="FF2F5597"/>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2" fillId="0" borderId="0" xfId="0" applyFont="1"/>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0" borderId="0" xfId="0" applyFont="1"/>
    <xf numFmtId="0" fontId="0" fillId="0" borderId="1" xfId="0" applyBorder="1" applyAlignment="1">
      <alignment vertical="top" wrapText="1"/>
    </xf>
    <xf numFmtId="0" fontId="0" fillId="3" borderId="1"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showGridLines="0" workbookViewId="0"/>
  </sheetViews>
  <sheetFormatPr defaultRowHeight="15" x14ac:dyDescent="0.25"/>
  <cols>
    <col min="1" max="1" width="22" customWidth="1"/>
    <col min="2" max="2" width="8" customWidth="1"/>
    <col min="3" max="3" width="9" customWidth="1"/>
    <col min="4" max="4" width="8" customWidth="1"/>
    <col min="5" max="5" width="12" customWidth="1"/>
    <col min="6" max="6" width="11" customWidth="1"/>
    <col min="7" max="7" width="17" customWidth="1"/>
    <col min="8" max="8" width="16" customWidth="1"/>
    <col min="9" max="9" width="18" customWidth="1"/>
    <col min="10" max="10" width="9" customWidth="1"/>
  </cols>
  <sheetData>
    <row r="1" spans="1:10" ht="17.25" x14ac:dyDescent="0.3">
      <c r="A1" s="1" t="s">
        <v>0</v>
      </c>
    </row>
    <row r="3" spans="1:10" x14ac:dyDescent="0.25">
      <c r="A3" s="2" t="s">
        <v>1</v>
      </c>
      <c r="B3" s="2" t="s">
        <v>2</v>
      </c>
      <c r="C3" s="2" t="s">
        <v>3</v>
      </c>
      <c r="D3" s="2" t="s">
        <v>4</v>
      </c>
      <c r="E3" s="2" t="s">
        <v>5</v>
      </c>
      <c r="F3" s="2" t="s">
        <v>6</v>
      </c>
      <c r="G3" s="2" t="s">
        <v>7</v>
      </c>
      <c r="H3" s="2" t="s">
        <v>8</v>
      </c>
      <c r="I3" s="2" t="s">
        <v>9</v>
      </c>
      <c r="J3" s="2" t="s">
        <v>10</v>
      </c>
    </row>
    <row r="4" spans="1:10" x14ac:dyDescent="0.25">
      <c r="A4" s="3" t="s">
        <v>11</v>
      </c>
      <c r="B4" s="3">
        <v>120</v>
      </c>
      <c r="C4" s="3">
        <f>COUNT(v1_baseline!J2:J121)</f>
        <v>0</v>
      </c>
      <c r="D4" s="3">
        <f>COUNTIF(v1_baseline!K2:K121,"Đạt")</f>
        <v>0</v>
      </c>
      <c r="E4" s="3" t="str">
        <f>IF(C4=0,"",ROUND(D4/C4*100,1))</f>
        <v/>
      </c>
      <c r="F4" s="3" t="str">
        <f>IFERROR(ROUND(AVERAGE(v1_baseline!J2:J121),2),"")</f>
        <v/>
      </c>
      <c r="G4" s="3" t="s">
        <v>12</v>
      </c>
      <c r="H4" s="3" t="s">
        <v>13</v>
      </c>
      <c r="I4" s="3" t="s">
        <v>14</v>
      </c>
      <c r="J4" s="3" t="s">
        <v>13</v>
      </c>
    </row>
    <row r="5" spans="1:10" x14ac:dyDescent="0.25">
      <c r="A5" s="3" t="s">
        <v>15</v>
      </c>
      <c r="B5" s="3">
        <v>111</v>
      </c>
      <c r="C5" s="3">
        <f>COUNT(v2_skill_extraction!J2:J112)</f>
        <v>0</v>
      </c>
      <c r="D5" s="3">
        <f>COUNTIF(v2_skill_extraction!K2:K112,"Đạt")</f>
        <v>0</v>
      </c>
      <c r="E5" s="3" t="str">
        <f>IF(C5=0,"",ROUND(D5/C5*100,1))</f>
        <v/>
      </c>
      <c r="F5" s="3" t="str">
        <f>IFERROR(ROUND(AVERAGE(v2_skill_extraction!J2:J112),2),"")</f>
        <v/>
      </c>
      <c r="G5" s="3" t="s">
        <v>16</v>
      </c>
      <c r="H5" s="3" t="s">
        <v>17</v>
      </c>
      <c r="I5" s="3" t="s">
        <v>13</v>
      </c>
      <c r="J5" s="3" t="s">
        <v>13</v>
      </c>
    </row>
    <row r="6" spans="1:10" x14ac:dyDescent="0.25">
      <c r="A6" s="3" t="s">
        <v>18</v>
      </c>
      <c r="B6" s="3">
        <v>111</v>
      </c>
      <c r="C6" s="3">
        <f>COUNT(v3_fewshot!J2:J112)</f>
        <v>0</v>
      </c>
      <c r="D6" s="3">
        <f>COUNTIF(v3_fewshot!K2:K112,"Đạt")</f>
        <v>0</v>
      </c>
      <c r="E6" s="3" t="str">
        <f>IF(C6=0,"",ROUND(D6/C6*100,1))</f>
        <v/>
      </c>
      <c r="F6" s="3" t="str">
        <f>IFERROR(ROUND(AVERAGE(v3_fewshot!J2:J112),2),"")</f>
        <v/>
      </c>
      <c r="G6" s="3" t="s">
        <v>19</v>
      </c>
      <c r="H6" s="3" t="s">
        <v>17</v>
      </c>
      <c r="I6" s="3" t="s">
        <v>13</v>
      </c>
      <c r="J6" s="3" t="s">
        <v>13</v>
      </c>
    </row>
    <row r="7" spans="1:10" x14ac:dyDescent="0.25">
      <c r="A7" s="3" t="s">
        <v>20</v>
      </c>
      <c r="B7" s="3">
        <v>119</v>
      </c>
      <c r="C7" s="3">
        <f>COUNT(v4_situational!J2:J120)</f>
        <v>0</v>
      </c>
      <c r="D7" s="3">
        <f>COUNTIF(v4_situational!K2:K120,"Đạt")</f>
        <v>0</v>
      </c>
      <c r="E7" s="3" t="str">
        <f>IF(C7=0,"",ROUND(D7/C7*100,1))</f>
        <v/>
      </c>
      <c r="F7" s="3" t="str">
        <f>IFERROR(ROUND(AVERAGE(v4_situational!J2:J120),2),"")</f>
        <v/>
      </c>
      <c r="G7" s="3" t="s">
        <v>21</v>
      </c>
      <c r="H7" s="3" t="s">
        <v>22</v>
      </c>
      <c r="I7" s="3" t="s">
        <v>14</v>
      </c>
      <c r="J7" s="3" t="s">
        <v>13</v>
      </c>
    </row>
    <row r="8" spans="1:10" x14ac:dyDescent="0.25">
      <c r="A8" s="3" t="s">
        <v>23</v>
      </c>
      <c r="B8" s="3">
        <v>111</v>
      </c>
      <c r="C8" s="3">
        <f>COUNT(v5_self_critique!J2:J112)</f>
        <v>0</v>
      </c>
      <c r="D8" s="3">
        <f>COUNTIF(v5_self_critique!K2:K112,"Đạt")</f>
        <v>0</v>
      </c>
      <c r="E8" s="3" t="str">
        <f>IF(C8=0,"",ROUND(D8/C8*100,1))</f>
        <v/>
      </c>
      <c r="F8" s="3" t="str">
        <f>IFERROR(ROUND(AVERAGE(v5_self_critique!J2:J112),2),"")</f>
        <v/>
      </c>
      <c r="G8" s="3" t="s">
        <v>24</v>
      </c>
      <c r="H8" s="3" t="s">
        <v>13</v>
      </c>
      <c r="I8" s="3" t="s">
        <v>13</v>
      </c>
      <c r="J8" s="3" t="s">
        <v>13</v>
      </c>
    </row>
    <row r="11" spans="1:10" x14ac:dyDescent="0.25">
      <c r="A11" s="4" t="s">
        <v>25</v>
      </c>
    </row>
    <row r="12" spans="1:10" x14ac:dyDescent="0.25">
      <c r="A12" t="s">
        <v>26</v>
      </c>
    </row>
    <row r="13" spans="1:10" x14ac:dyDescent="0.25">
      <c r="A13" t="s">
        <v>27</v>
      </c>
    </row>
    <row r="14" spans="1:10" x14ac:dyDescent="0.25">
      <c r="A14" t="s">
        <v>28</v>
      </c>
    </row>
    <row r="15" spans="1:10" x14ac:dyDescent="0.25">
      <c r="A15" t="s">
        <v>29</v>
      </c>
    </row>
    <row r="16" spans="1:10" x14ac:dyDescent="0.25">
      <c r="A16" t="s">
        <v>30</v>
      </c>
    </row>
    <row r="17" spans="1:1" x14ac:dyDescent="0.25">
      <c r="A17" t="s">
        <v>31</v>
      </c>
    </row>
    <row r="18" spans="1:1" x14ac:dyDescent="0.25">
      <c r="A18"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1"/>
  <sheetViews>
    <sheetView showGridLines="0" workbookViewId="0">
      <pane ySplit="1" topLeftCell="A2" activePane="bottomLeft" state="frozen"/>
      <selection pane="bottomLeft"/>
    </sheetView>
  </sheetViews>
  <sheetFormatPr defaultRowHeight="15" x14ac:dyDescent="0.25"/>
  <cols>
    <col min="1" max="1" width="6" customWidth="1"/>
    <col min="2" max="2" width="20" customWidth="1"/>
    <col min="3" max="3" width="30" customWidth="1"/>
    <col min="4" max="4" width="70" customWidth="1"/>
    <col min="5" max="5" width="11" customWidth="1"/>
    <col min="6" max="8" width="10" customWidth="1"/>
    <col min="9" max="10" width="9" customWidth="1"/>
    <col min="11" max="11" width="8" customWidth="1"/>
    <col min="12" max="12" width="14" customWidth="1"/>
  </cols>
  <sheetData>
    <row r="1" spans="1:12" x14ac:dyDescent="0.25">
      <c r="A1" s="2" t="s">
        <v>33</v>
      </c>
      <c r="B1" s="2" t="s">
        <v>34</v>
      </c>
      <c r="C1" s="2" t="s">
        <v>35</v>
      </c>
      <c r="D1" s="2" t="s">
        <v>36</v>
      </c>
      <c r="E1" s="2" t="s">
        <v>37</v>
      </c>
      <c r="F1" s="2" t="s">
        <v>38</v>
      </c>
      <c r="G1" s="2" t="s">
        <v>39</v>
      </c>
      <c r="H1" s="2" t="s">
        <v>40</v>
      </c>
      <c r="I1" s="2" t="s">
        <v>41</v>
      </c>
      <c r="J1" s="2" t="s">
        <v>42</v>
      </c>
      <c r="K1" s="2" t="s">
        <v>43</v>
      </c>
      <c r="L1" s="2" t="s">
        <v>44</v>
      </c>
    </row>
    <row r="2" spans="1:12" ht="75" x14ac:dyDescent="0.25">
      <c r="A2" s="3">
        <v>1</v>
      </c>
      <c r="B2" s="3" t="s">
        <v>45</v>
      </c>
      <c r="C2" s="3" t="s">
        <v>46</v>
      </c>
      <c r="D2" s="5" t="s">
        <v>47</v>
      </c>
      <c r="E2" s="6"/>
      <c r="F2" s="6"/>
      <c r="G2" s="6"/>
      <c r="H2" s="6"/>
      <c r="I2" s="6"/>
      <c r="J2" s="3" t="str">
        <f t="shared" ref="J2:J33" si="0">IF(COUNT(E2:I2)=5,AVERAGE(E2:I2),"")</f>
        <v/>
      </c>
      <c r="K2" s="3" t="str">
        <f t="shared" ref="K2:K33" si="1">IF(J2="","",IF(J2&gt;=4,"Đạt","Không"))</f>
        <v/>
      </c>
      <c r="L2" s="5"/>
    </row>
    <row r="3" spans="1:12" ht="75" x14ac:dyDescent="0.25">
      <c r="A3" s="3">
        <v>2</v>
      </c>
      <c r="B3" s="3" t="s">
        <v>45</v>
      </c>
      <c r="C3" s="3" t="s">
        <v>46</v>
      </c>
      <c r="D3" s="5" t="s">
        <v>48</v>
      </c>
      <c r="E3" s="6"/>
      <c r="F3" s="6"/>
      <c r="G3" s="6"/>
      <c r="H3" s="6"/>
      <c r="I3" s="6"/>
      <c r="J3" s="3" t="str">
        <f t="shared" si="0"/>
        <v/>
      </c>
      <c r="K3" s="3" t="str">
        <f t="shared" si="1"/>
        <v/>
      </c>
      <c r="L3" s="5"/>
    </row>
    <row r="4" spans="1:12" ht="75" x14ac:dyDescent="0.25">
      <c r="A4" s="3">
        <v>3</v>
      </c>
      <c r="B4" s="3" t="s">
        <v>45</v>
      </c>
      <c r="C4" s="3" t="s">
        <v>46</v>
      </c>
      <c r="D4" s="5" t="s">
        <v>49</v>
      </c>
      <c r="E4" s="6"/>
      <c r="F4" s="6"/>
      <c r="G4" s="6"/>
      <c r="H4" s="6"/>
      <c r="I4" s="6"/>
      <c r="J4" s="3" t="str">
        <f t="shared" si="0"/>
        <v/>
      </c>
      <c r="K4" s="3" t="str">
        <f t="shared" si="1"/>
        <v/>
      </c>
      <c r="L4" s="5"/>
    </row>
    <row r="5" spans="1:12" ht="75" x14ac:dyDescent="0.25">
      <c r="A5" s="3">
        <v>4</v>
      </c>
      <c r="B5" s="3" t="s">
        <v>45</v>
      </c>
      <c r="C5" s="3" t="s">
        <v>46</v>
      </c>
      <c r="D5" s="5" t="s">
        <v>50</v>
      </c>
      <c r="E5" s="6"/>
      <c r="F5" s="6"/>
      <c r="G5" s="6"/>
      <c r="H5" s="6"/>
      <c r="I5" s="6"/>
      <c r="J5" s="3" t="str">
        <f t="shared" si="0"/>
        <v/>
      </c>
      <c r="K5" s="3" t="str">
        <f t="shared" si="1"/>
        <v/>
      </c>
      <c r="L5" s="5"/>
    </row>
    <row r="6" spans="1:12" ht="90" x14ac:dyDescent="0.25">
      <c r="A6" s="3">
        <v>5</v>
      </c>
      <c r="B6" s="3" t="s">
        <v>45</v>
      </c>
      <c r="C6" s="3" t="s">
        <v>46</v>
      </c>
      <c r="D6" s="5" t="s">
        <v>51</v>
      </c>
      <c r="E6" s="6"/>
      <c r="F6" s="6"/>
      <c r="G6" s="6"/>
      <c r="H6" s="6"/>
      <c r="I6" s="6"/>
      <c r="J6" s="3" t="str">
        <f t="shared" si="0"/>
        <v/>
      </c>
      <c r="K6" s="3" t="str">
        <f t="shared" si="1"/>
        <v/>
      </c>
      <c r="L6" s="5"/>
    </row>
    <row r="7" spans="1:12" ht="75" x14ac:dyDescent="0.25">
      <c r="A7" s="3">
        <v>6</v>
      </c>
      <c r="B7" s="3" t="s">
        <v>45</v>
      </c>
      <c r="C7" s="3" t="s">
        <v>46</v>
      </c>
      <c r="D7" s="5" t="s">
        <v>52</v>
      </c>
      <c r="E7" s="6"/>
      <c r="F7" s="6"/>
      <c r="G7" s="6"/>
      <c r="H7" s="6"/>
      <c r="I7" s="6"/>
      <c r="J7" s="3" t="str">
        <f t="shared" si="0"/>
        <v/>
      </c>
      <c r="K7" s="3" t="str">
        <f t="shared" si="1"/>
        <v/>
      </c>
      <c r="L7" s="5"/>
    </row>
    <row r="8" spans="1:12" ht="75" x14ac:dyDescent="0.25">
      <c r="A8" s="3">
        <v>7</v>
      </c>
      <c r="B8" s="3" t="s">
        <v>45</v>
      </c>
      <c r="C8" s="3" t="s">
        <v>46</v>
      </c>
      <c r="D8" s="5" t="s">
        <v>53</v>
      </c>
      <c r="E8" s="6"/>
      <c r="F8" s="6"/>
      <c r="G8" s="6"/>
      <c r="H8" s="6"/>
      <c r="I8" s="6"/>
      <c r="J8" s="3" t="str">
        <f t="shared" si="0"/>
        <v/>
      </c>
      <c r="K8" s="3" t="str">
        <f t="shared" si="1"/>
        <v/>
      </c>
      <c r="L8" s="5"/>
    </row>
    <row r="9" spans="1:12" ht="75" x14ac:dyDescent="0.25">
      <c r="A9" s="3">
        <v>8</v>
      </c>
      <c r="B9" s="3" t="s">
        <v>45</v>
      </c>
      <c r="C9" s="3" t="s">
        <v>46</v>
      </c>
      <c r="D9" s="5" t="s">
        <v>54</v>
      </c>
      <c r="E9" s="6"/>
      <c r="F9" s="6"/>
      <c r="G9" s="6"/>
      <c r="H9" s="6"/>
      <c r="I9" s="6"/>
      <c r="J9" s="3" t="str">
        <f t="shared" si="0"/>
        <v/>
      </c>
      <c r="K9" s="3" t="str">
        <f t="shared" si="1"/>
        <v/>
      </c>
      <c r="L9" s="5"/>
    </row>
    <row r="10" spans="1:12" ht="75" x14ac:dyDescent="0.25">
      <c r="A10" s="3">
        <v>9</v>
      </c>
      <c r="B10" s="3" t="s">
        <v>45</v>
      </c>
      <c r="C10" s="3" t="s">
        <v>46</v>
      </c>
      <c r="D10" s="5" t="s">
        <v>55</v>
      </c>
      <c r="E10" s="6"/>
      <c r="F10" s="6"/>
      <c r="G10" s="6"/>
      <c r="H10" s="6"/>
      <c r="I10" s="6"/>
      <c r="J10" s="3" t="str">
        <f t="shared" si="0"/>
        <v/>
      </c>
      <c r="K10" s="3" t="str">
        <f t="shared" si="1"/>
        <v/>
      </c>
      <c r="L10" s="5"/>
    </row>
    <row r="11" spans="1:12" ht="90" x14ac:dyDescent="0.25">
      <c r="A11" s="3">
        <v>10</v>
      </c>
      <c r="B11" s="3" t="s">
        <v>45</v>
      </c>
      <c r="C11" s="3" t="s">
        <v>46</v>
      </c>
      <c r="D11" s="5" t="s">
        <v>51</v>
      </c>
      <c r="E11" s="6"/>
      <c r="F11" s="6"/>
      <c r="G11" s="6"/>
      <c r="H11" s="6"/>
      <c r="I11" s="6"/>
      <c r="J11" s="3" t="str">
        <f t="shared" si="0"/>
        <v/>
      </c>
      <c r="K11" s="3" t="str">
        <f t="shared" si="1"/>
        <v/>
      </c>
      <c r="L11" s="5"/>
    </row>
    <row r="12" spans="1:12" ht="90" x14ac:dyDescent="0.25">
      <c r="A12" s="3">
        <v>11</v>
      </c>
      <c r="B12" s="3" t="s">
        <v>56</v>
      </c>
      <c r="C12" s="3" t="s">
        <v>46</v>
      </c>
      <c r="D12" s="5" t="s">
        <v>57</v>
      </c>
      <c r="E12" s="6"/>
      <c r="F12" s="6"/>
      <c r="G12" s="6"/>
      <c r="H12" s="6"/>
      <c r="I12" s="6"/>
      <c r="J12" s="3" t="str">
        <f t="shared" si="0"/>
        <v/>
      </c>
      <c r="K12" s="3" t="str">
        <f t="shared" si="1"/>
        <v/>
      </c>
      <c r="L12" s="5"/>
    </row>
    <row r="13" spans="1:12" ht="90" x14ac:dyDescent="0.25">
      <c r="A13" s="3">
        <v>12</v>
      </c>
      <c r="B13" s="3" t="s">
        <v>56</v>
      </c>
      <c r="C13" s="3" t="s">
        <v>46</v>
      </c>
      <c r="D13" s="5" t="s">
        <v>58</v>
      </c>
      <c r="E13" s="6"/>
      <c r="F13" s="6"/>
      <c r="G13" s="6"/>
      <c r="H13" s="6"/>
      <c r="I13" s="6"/>
      <c r="J13" s="3" t="str">
        <f t="shared" si="0"/>
        <v/>
      </c>
      <c r="K13" s="3" t="str">
        <f t="shared" si="1"/>
        <v/>
      </c>
      <c r="L13" s="5"/>
    </row>
    <row r="14" spans="1:12" ht="90" x14ac:dyDescent="0.25">
      <c r="A14" s="3">
        <v>13</v>
      </c>
      <c r="B14" s="3" t="s">
        <v>56</v>
      </c>
      <c r="C14" s="3" t="s">
        <v>46</v>
      </c>
      <c r="D14" s="5" t="s">
        <v>59</v>
      </c>
      <c r="E14" s="6"/>
      <c r="F14" s="6"/>
      <c r="G14" s="6"/>
      <c r="H14" s="6"/>
      <c r="I14" s="6"/>
      <c r="J14" s="3" t="str">
        <f t="shared" si="0"/>
        <v/>
      </c>
      <c r="K14" s="3" t="str">
        <f t="shared" si="1"/>
        <v/>
      </c>
      <c r="L14" s="5"/>
    </row>
    <row r="15" spans="1:12" ht="90" x14ac:dyDescent="0.25">
      <c r="A15" s="3">
        <v>14</v>
      </c>
      <c r="B15" s="3" t="s">
        <v>56</v>
      </c>
      <c r="C15" s="3" t="s">
        <v>46</v>
      </c>
      <c r="D15" s="5" t="s">
        <v>60</v>
      </c>
      <c r="E15" s="6"/>
      <c r="F15" s="6"/>
      <c r="G15" s="6"/>
      <c r="H15" s="6"/>
      <c r="I15" s="6"/>
      <c r="J15" s="3" t="str">
        <f t="shared" si="0"/>
        <v/>
      </c>
      <c r="K15" s="3" t="str">
        <f t="shared" si="1"/>
        <v/>
      </c>
      <c r="L15" s="5"/>
    </row>
    <row r="16" spans="1:12" ht="90" x14ac:dyDescent="0.25">
      <c r="A16" s="3">
        <v>15</v>
      </c>
      <c r="B16" s="3" t="s">
        <v>56</v>
      </c>
      <c r="C16" s="3" t="s">
        <v>46</v>
      </c>
      <c r="D16" s="5" t="s">
        <v>61</v>
      </c>
      <c r="E16" s="6"/>
      <c r="F16" s="6"/>
      <c r="G16" s="6"/>
      <c r="H16" s="6"/>
      <c r="I16" s="6"/>
      <c r="J16" s="3" t="str">
        <f t="shared" si="0"/>
        <v/>
      </c>
      <c r="K16" s="3" t="str">
        <f t="shared" si="1"/>
        <v/>
      </c>
      <c r="L16" s="5"/>
    </row>
    <row r="17" spans="1:12" ht="90" x14ac:dyDescent="0.25">
      <c r="A17" s="3">
        <v>16</v>
      </c>
      <c r="B17" s="3" t="s">
        <v>56</v>
      </c>
      <c r="C17" s="3" t="s">
        <v>46</v>
      </c>
      <c r="D17" s="5" t="s">
        <v>62</v>
      </c>
      <c r="E17" s="6"/>
      <c r="F17" s="6"/>
      <c r="G17" s="6"/>
      <c r="H17" s="6"/>
      <c r="I17" s="6"/>
      <c r="J17" s="3" t="str">
        <f t="shared" si="0"/>
        <v/>
      </c>
      <c r="K17" s="3" t="str">
        <f t="shared" si="1"/>
        <v/>
      </c>
      <c r="L17" s="5"/>
    </row>
    <row r="18" spans="1:12" ht="75" x14ac:dyDescent="0.25">
      <c r="A18" s="3">
        <v>17</v>
      </c>
      <c r="B18" s="3" t="s">
        <v>56</v>
      </c>
      <c r="C18" s="3" t="s">
        <v>46</v>
      </c>
      <c r="D18" s="5" t="s">
        <v>63</v>
      </c>
      <c r="E18" s="6"/>
      <c r="F18" s="6"/>
      <c r="G18" s="6"/>
      <c r="H18" s="6"/>
      <c r="I18" s="6"/>
      <c r="J18" s="3" t="str">
        <f t="shared" si="0"/>
        <v/>
      </c>
      <c r="K18" s="3" t="str">
        <f t="shared" si="1"/>
        <v/>
      </c>
      <c r="L18" s="5"/>
    </row>
    <row r="19" spans="1:12" ht="90" x14ac:dyDescent="0.25">
      <c r="A19" s="3">
        <v>18</v>
      </c>
      <c r="B19" s="3" t="s">
        <v>56</v>
      </c>
      <c r="C19" s="3" t="s">
        <v>46</v>
      </c>
      <c r="D19" s="5" t="s">
        <v>64</v>
      </c>
      <c r="E19" s="6"/>
      <c r="F19" s="6"/>
      <c r="G19" s="6"/>
      <c r="H19" s="6"/>
      <c r="I19" s="6"/>
      <c r="J19" s="3" t="str">
        <f t="shared" si="0"/>
        <v/>
      </c>
      <c r="K19" s="3" t="str">
        <f t="shared" si="1"/>
        <v/>
      </c>
      <c r="L19" s="5"/>
    </row>
    <row r="20" spans="1:12" ht="90" x14ac:dyDescent="0.25">
      <c r="A20" s="3">
        <v>19</v>
      </c>
      <c r="B20" s="3" t="s">
        <v>56</v>
      </c>
      <c r="C20" s="3" t="s">
        <v>46</v>
      </c>
      <c r="D20" s="5" t="s">
        <v>65</v>
      </c>
      <c r="E20" s="6"/>
      <c r="F20" s="6"/>
      <c r="G20" s="6"/>
      <c r="H20" s="6"/>
      <c r="I20" s="6"/>
      <c r="J20" s="3" t="str">
        <f t="shared" si="0"/>
        <v/>
      </c>
      <c r="K20" s="3" t="str">
        <f t="shared" si="1"/>
        <v/>
      </c>
      <c r="L20" s="5"/>
    </row>
    <row r="21" spans="1:12" ht="90" x14ac:dyDescent="0.25">
      <c r="A21" s="3">
        <v>20</v>
      </c>
      <c r="B21" s="3" t="s">
        <v>56</v>
      </c>
      <c r="C21" s="3" t="s">
        <v>46</v>
      </c>
      <c r="D21" s="5" t="s">
        <v>66</v>
      </c>
      <c r="E21" s="6"/>
      <c r="F21" s="6"/>
      <c r="G21" s="6"/>
      <c r="H21" s="6"/>
      <c r="I21" s="6"/>
      <c r="J21" s="3" t="str">
        <f t="shared" si="0"/>
        <v/>
      </c>
      <c r="K21" s="3" t="str">
        <f t="shared" si="1"/>
        <v/>
      </c>
      <c r="L21" s="5"/>
    </row>
    <row r="22" spans="1:12" ht="75" x14ac:dyDescent="0.25">
      <c r="A22" s="3">
        <v>21</v>
      </c>
      <c r="B22" s="3" t="s">
        <v>67</v>
      </c>
      <c r="C22" s="3" t="s">
        <v>46</v>
      </c>
      <c r="D22" s="5" t="s">
        <v>68</v>
      </c>
      <c r="E22" s="6"/>
      <c r="F22" s="6"/>
      <c r="G22" s="6"/>
      <c r="H22" s="6"/>
      <c r="I22" s="6"/>
      <c r="J22" s="3" t="str">
        <f t="shared" si="0"/>
        <v/>
      </c>
      <c r="K22" s="3" t="str">
        <f t="shared" si="1"/>
        <v/>
      </c>
      <c r="L22" s="5"/>
    </row>
    <row r="23" spans="1:12" ht="75" x14ac:dyDescent="0.25">
      <c r="A23" s="3">
        <v>22</v>
      </c>
      <c r="B23" s="3" t="s">
        <v>67</v>
      </c>
      <c r="C23" s="3" t="s">
        <v>46</v>
      </c>
      <c r="D23" s="5" t="s">
        <v>69</v>
      </c>
      <c r="E23" s="6"/>
      <c r="F23" s="6"/>
      <c r="G23" s="6"/>
      <c r="H23" s="6"/>
      <c r="I23" s="6"/>
      <c r="J23" s="3" t="str">
        <f t="shared" si="0"/>
        <v/>
      </c>
      <c r="K23" s="3" t="str">
        <f t="shared" si="1"/>
        <v/>
      </c>
      <c r="L23" s="5"/>
    </row>
    <row r="24" spans="1:12" ht="75" x14ac:dyDescent="0.25">
      <c r="A24" s="3">
        <v>23</v>
      </c>
      <c r="B24" s="3" t="s">
        <v>67</v>
      </c>
      <c r="C24" s="3" t="s">
        <v>46</v>
      </c>
      <c r="D24" s="5" t="s">
        <v>70</v>
      </c>
      <c r="E24" s="6"/>
      <c r="F24" s="6"/>
      <c r="G24" s="6"/>
      <c r="H24" s="6"/>
      <c r="I24" s="6"/>
      <c r="J24" s="3" t="str">
        <f t="shared" si="0"/>
        <v/>
      </c>
      <c r="K24" s="3" t="str">
        <f t="shared" si="1"/>
        <v/>
      </c>
      <c r="L24" s="5"/>
    </row>
    <row r="25" spans="1:12" ht="75" x14ac:dyDescent="0.25">
      <c r="A25" s="3">
        <v>24</v>
      </c>
      <c r="B25" s="3" t="s">
        <v>67</v>
      </c>
      <c r="C25" s="3" t="s">
        <v>46</v>
      </c>
      <c r="D25" s="5" t="s">
        <v>71</v>
      </c>
      <c r="E25" s="6"/>
      <c r="F25" s="6"/>
      <c r="G25" s="6"/>
      <c r="H25" s="6"/>
      <c r="I25" s="6"/>
      <c r="J25" s="3" t="str">
        <f t="shared" si="0"/>
        <v/>
      </c>
      <c r="K25" s="3" t="str">
        <f t="shared" si="1"/>
        <v/>
      </c>
      <c r="L25" s="5"/>
    </row>
    <row r="26" spans="1:12" ht="75" x14ac:dyDescent="0.25">
      <c r="A26" s="3">
        <v>25</v>
      </c>
      <c r="B26" s="3" t="s">
        <v>67</v>
      </c>
      <c r="C26" s="3" t="s">
        <v>46</v>
      </c>
      <c r="D26" s="5" t="s">
        <v>72</v>
      </c>
      <c r="E26" s="6"/>
      <c r="F26" s="6"/>
      <c r="G26" s="6"/>
      <c r="H26" s="6"/>
      <c r="I26" s="6"/>
      <c r="J26" s="3" t="str">
        <f t="shared" si="0"/>
        <v/>
      </c>
      <c r="K26" s="3" t="str">
        <f t="shared" si="1"/>
        <v/>
      </c>
      <c r="L26" s="5"/>
    </row>
    <row r="27" spans="1:12" ht="75" x14ac:dyDescent="0.25">
      <c r="A27" s="3">
        <v>26</v>
      </c>
      <c r="B27" s="3" t="s">
        <v>67</v>
      </c>
      <c r="C27" s="3" t="s">
        <v>46</v>
      </c>
      <c r="D27" s="5" t="s">
        <v>73</v>
      </c>
      <c r="E27" s="6"/>
      <c r="F27" s="6"/>
      <c r="G27" s="6"/>
      <c r="H27" s="6"/>
      <c r="I27" s="6"/>
      <c r="J27" s="3" t="str">
        <f t="shared" si="0"/>
        <v/>
      </c>
      <c r="K27" s="3" t="str">
        <f t="shared" si="1"/>
        <v/>
      </c>
      <c r="L27" s="5"/>
    </row>
    <row r="28" spans="1:12" ht="75" x14ac:dyDescent="0.25">
      <c r="A28" s="3">
        <v>27</v>
      </c>
      <c r="B28" s="3" t="s">
        <v>67</v>
      </c>
      <c r="C28" s="3" t="s">
        <v>46</v>
      </c>
      <c r="D28" s="5" t="s">
        <v>74</v>
      </c>
      <c r="E28" s="6"/>
      <c r="F28" s="6"/>
      <c r="G28" s="6"/>
      <c r="H28" s="6"/>
      <c r="I28" s="6"/>
      <c r="J28" s="3" t="str">
        <f t="shared" si="0"/>
        <v/>
      </c>
      <c r="K28" s="3" t="str">
        <f t="shared" si="1"/>
        <v/>
      </c>
      <c r="L28" s="5"/>
    </row>
    <row r="29" spans="1:12" ht="75" x14ac:dyDescent="0.25">
      <c r="A29" s="3">
        <v>28</v>
      </c>
      <c r="B29" s="3" t="s">
        <v>67</v>
      </c>
      <c r="C29" s="3" t="s">
        <v>46</v>
      </c>
      <c r="D29" s="5" t="s">
        <v>75</v>
      </c>
      <c r="E29" s="6"/>
      <c r="F29" s="6"/>
      <c r="G29" s="6"/>
      <c r="H29" s="6"/>
      <c r="I29" s="6"/>
      <c r="J29" s="3" t="str">
        <f t="shared" si="0"/>
        <v/>
      </c>
      <c r="K29" s="3" t="str">
        <f t="shared" si="1"/>
        <v/>
      </c>
      <c r="L29" s="5"/>
    </row>
    <row r="30" spans="1:12" ht="75" x14ac:dyDescent="0.25">
      <c r="A30" s="3">
        <v>29</v>
      </c>
      <c r="B30" s="3" t="s">
        <v>67</v>
      </c>
      <c r="C30" s="3" t="s">
        <v>46</v>
      </c>
      <c r="D30" s="5" t="s">
        <v>76</v>
      </c>
      <c r="E30" s="6"/>
      <c r="F30" s="6"/>
      <c r="G30" s="6"/>
      <c r="H30" s="6"/>
      <c r="I30" s="6"/>
      <c r="J30" s="3" t="str">
        <f t="shared" si="0"/>
        <v/>
      </c>
      <c r="K30" s="3" t="str">
        <f t="shared" si="1"/>
        <v/>
      </c>
      <c r="L30" s="5"/>
    </row>
    <row r="31" spans="1:12" ht="75" x14ac:dyDescent="0.25">
      <c r="A31" s="3">
        <v>30</v>
      </c>
      <c r="B31" s="3" t="s">
        <v>67</v>
      </c>
      <c r="C31" s="3" t="s">
        <v>46</v>
      </c>
      <c r="D31" s="5" t="s">
        <v>77</v>
      </c>
      <c r="E31" s="6"/>
      <c r="F31" s="6"/>
      <c r="G31" s="6"/>
      <c r="H31" s="6"/>
      <c r="I31" s="6"/>
      <c r="J31" s="3" t="str">
        <f t="shared" si="0"/>
        <v/>
      </c>
      <c r="K31" s="3" t="str">
        <f t="shared" si="1"/>
        <v/>
      </c>
      <c r="L31" s="5"/>
    </row>
    <row r="32" spans="1:12" ht="75" x14ac:dyDescent="0.25">
      <c r="A32" s="3">
        <v>31</v>
      </c>
      <c r="B32" s="3" t="s">
        <v>78</v>
      </c>
      <c r="C32" s="3" t="s">
        <v>46</v>
      </c>
      <c r="D32" s="5" t="s">
        <v>79</v>
      </c>
      <c r="E32" s="6"/>
      <c r="F32" s="6"/>
      <c r="G32" s="6"/>
      <c r="H32" s="6"/>
      <c r="I32" s="6"/>
      <c r="J32" s="3" t="str">
        <f t="shared" si="0"/>
        <v/>
      </c>
      <c r="K32" s="3" t="str">
        <f t="shared" si="1"/>
        <v/>
      </c>
      <c r="L32" s="5"/>
    </row>
    <row r="33" spans="1:12" ht="90" x14ac:dyDescent="0.25">
      <c r="A33" s="3">
        <v>32</v>
      </c>
      <c r="B33" s="3" t="s">
        <v>78</v>
      </c>
      <c r="C33" s="3" t="s">
        <v>46</v>
      </c>
      <c r="D33" s="5" t="s">
        <v>80</v>
      </c>
      <c r="E33" s="6"/>
      <c r="F33" s="6"/>
      <c r="G33" s="6"/>
      <c r="H33" s="6"/>
      <c r="I33" s="6"/>
      <c r="J33" s="3" t="str">
        <f t="shared" si="0"/>
        <v/>
      </c>
      <c r="K33" s="3" t="str">
        <f t="shared" si="1"/>
        <v/>
      </c>
      <c r="L33" s="5"/>
    </row>
    <row r="34" spans="1:12" ht="75" x14ac:dyDescent="0.25">
      <c r="A34" s="3">
        <v>33</v>
      </c>
      <c r="B34" s="3" t="s">
        <v>78</v>
      </c>
      <c r="C34" s="3" t="s">
        <v>46</v>
      </c>
      <c r="D34" s="5" t="s">
        <v>81</v>
      </c>
      <c r="E34" s="6"/>
      <c r="F34" s="6"/>
      <c r="G34" s="6"/>
      <c r="H34" s="6"/>
      <c r="I34" s="6"/>
      <c r="J34" s="3" t="str">
        <f t="shared" ref="J34:J65" si="2">IF(COUNT(E34:I34)=5,AVERAGE(E34:I34),"")</f>
        <v/>
      </c>
      <c r="K34" s="3" t="str">
        <f t="shared" ref="K34:K65" si="3">IF(J34="","",IF(J34&gt;=4,"Đạt","Không"))</f>
        <v/>
      </c>
      <c r="L34" s="5"/>
    </row>
    <row r="35" spans="1:12" ht="75" x14ac:dyDescent="0.25">
      <c r="A35" s="3">
        <v>34</v>
      </c>
      <c r="B35" s="3" t="s">
        <v>78</v>
      </c>
      <c r="C35" s="3" t="s">
        <v>46</v>
      </c>
      <c r="D35" s="5" t="s">
        <v>82</v>
      </c>
      <c r="E35" s="6"/>
      <c r="F35" s="6"/>
      <c r="G35" s="6"/>
      <c r="H35" s="6"/>
      <c r="I35" s="6"/>
      <c r="J35" s="3" t="str">
        <f t="shared" si="2"/>
        <v/>
      </c>
      <c r="K35" s="3" t="str">
        <f t="shared" si="3"/>
        <v/>
      </c>
      <c r="L35" s="5"/>
    </row>
    <row r="36" spans="1:12" ht="75" x14ac:dyDescent="0.25">
      <c r="A36" s="3">
        <v>35</v>
      </c>
      <c r="B36" s="3" t="s">
        <v>78</v>
      </c>
      <c r="C36" s="3" t="s">
        <v>46</v>
      </c>
      <c r="D36" s="5" t="s">
        <v>83</v>
      </c>
      <c r="E36" s="6"/>
      <c r="F36" s="6"/>
      <c r="G36" s="6"/>
      <c r="H36" s="6"/>
      <c r="I36" s="6"/>
      <c r="J36" s="3" t="str">
        <f t="shared" si="2"/>
        <v/>
      </c>
      <c r="K36" s="3" t="str">
        <f t="shared" si="3"/>
        <v/>
      </c>
      <c r="L36" s="5"/>
    </row>
    <row r="37" spans="1:12" ht="75" x14ac:dyDescent="0.25">
      <c r="A37" s="3">
        <v>36</v>
      </c>
      <c r="B37" s="3" t="s">
        <v>78</v>
      </c>
      <c r="C37" s="3" t="s">
        <v>46</v>
      </c>
      <c r="D37" s="5" t="s">
        <v>84</v>
      </c>
      <c r="E37" s="6"/>
      <c r="F37" s="6"/>
      <c r="G37" s="6"/>
      <c r="H37" s="6"/>
      <c r="I37" s="6"/>
      <c r="J37" s="3" t="str">
        <f t="shared" si="2"/>
        <v/>
      </c>
      <c r="K37" s="3" t="str">
        <f t="shared" si="3"/>
        <v/>
      </c>
      <c r="L37" s="5"/>
    </row>
    <row r="38" spans="1:12" ht="75" x14ac:dyDescent="0.25">
      <c r="A38" s="3">
        <v>37</v>
      </c>
      <c r="B38" s="3" t="s">
        <v>78</v>
      </c>
      <c r="C38" s="3" t="s">
        <v>46</v>
      </c>
      <c r="D38" s="5" t="s">
        <v>85</v>
      </c>
      <c r="E38" s="6"/>
      <c r="F38" s="6"/>
      <c r="G38" s="6"/>
      <c r="H38" s="6"/>
      <c r="I38" s="6"/>
      <c r="J38" s="3" t="str">
        <f t="shared" si="2"/>
        <v/>
      </c>
      <c r="K38" s="3" t="str">
        <f t="shared" si="3"/>
        <v/>
      </c>
      <c r="L38" s="5"/>
    </row>
    <row r="39" spans="1:12" ht="75" x14ac:dyDescent="0.25">
      <c r="A39" s="3">
        <v>38</v>
      </c>
      <c r="B39" s="3" t="s">
        <v>78</v>
      </c>
      <c r="C39" s="3" t="s">
        <v>46</v>
      </c>
      <c r="D39" s="5" t="s">
        <v>86</v>
      </c>
      <c r="E39" s="6"/>
      <c r="F39" s="6"/>
      <c r="G39" s="6"/>
      <c r="H39" s="6"/>
      <c r="I39" s="6"/>
      <c r="J39" s="3" t="str">
        <f t="shared" si="2"/>
        <v/>
      </c>
      <c r="K39" s="3" t="str">
        <f t="shared" si="3"/>
        <v/>
      </c>
      <c r="L39" s="5"/>
    </row>
    <row r="40" spans="1:12" ht="75" x14ac:dyDescent="0.25">
      <c r="A40" s="3">
        <v>39</v>
      </c>
      <c r="B40" s="3" t="s">
        <v>78</v>
      </c>
      <c r="C40" s="3" t="s">
        <v>46</v>
      </c>
      <c r="D40" s="5" t="s">
        <v>87</v>
      </c>
      <c r="E40" s="6"/>
      <c r="F40" s="6"/>
      <c r="G40" s="6"/>
      <c r="H40" s="6"/>
      <c r="I40" s="6"/>
      <c r="J40" s="3" t="str">
        <f t="shared" si="2"/>
        <v/>
      </c>
      <c r="K40" s="3" t="str">
        <f t="shared" si="3"/>
        <v/>
      </c>
      <c r="L40" s="5"/>
    </row>
    <row r="41" spans="1:12" ht="75" x14ac:dyDescent="0.25">
      <c r="A41" s="3">
        <v>40</v>
      </c>
      <c r="B41" s="3" t="s">
        <v>78</v>
      </c>
      <c r="C41" s="3" t="s">
        <v>46</v>
      </c>
      <c r="D41" s="5" t="s">
        <v>88</v>
      </c>
      <c r="E41" s="6"/>
      <c r="F41" s="6"/>
      <c r="G41" s="6"/>
      <c r="H41" s="6"/>
      <c r="I41" s="6"/>
      <c r="J41" s="3" t="str">
        <f t="shared" si="2"/>
        <v/>
      </c>
      <c r="K41" s="3" t="str">
        <f t="shared" si="3"/>
        <v/>
      </c>
      <c r="L41" s="5"/>
    </row>
    <row r="42" spans="1:12" ht="75" x14ac:dyDescent="0.25">
      <c r="A42" s="3">
        <v>41</v>
      </c>
      <c r="B42" s="3" t="s">
        <v>89</v>
      </c>
      <c r="C42" s="3" t="s">
        <v>46</v>
      </c>
      <c r="D42" s="5" t="s">
        <v>90</v>
      </c>
      <c r="E42" s="6"/>
      <c r="F42" s="6"/>
      <c r="G42" s="6"/>
      <c r="H42" s="6"/>
      <c r="I42" s="6"/>
      <c r="J42" s="3" t="str">
        <f t="shared" si="2"/>
        <v/>
      </c>
      <c r="K42" s="3" t="str">
        <f t="shared" si="3"/>
        <v/>
      </c>
      <c r="L42" s="5"/>
    </row>
    <row r="43" spans="1:12" ht="105" x14ac:dyDescent="0.25">
      <c r="A43" s="3">
        <v>42</v>
      </c>
      <c r="B43" s="3" t="s">
        <v>89</v>
      </c>
      <c r="C43" s="3" t="s">
        <v>46</v>
      </c>
      <c r="D43" s="5" t="s">
        <v>91</v>
      </c>
      <c r="E43" s="6"/>
      <c r="F43" s="6"/>
      <c r="G43" s="6"/>
      <c r="H43" s="6"/>
      <c r="I43" s="6"/>
      <c r="J43" s="3" t="str">
        <f t="shared" si="2"/>
        <v/>
      </c>
      <c r="K43" s="3" t="str">
        <f t="shared" si="3"/>
        <v/>
      </c>
      <c r="L43" s="5"/>
    </row>
    <row r="44" spans="1:12" ht="105" x14ac:dyDescent="0.25">
      <c r="A44" s="3">
        <v>43</v>
      </c>
      <c r="B44" s="3" t="s">
        <v>89</v>
      </c>
      <c r="C44" s="3" t="s">
        <v>46</v>
      </c>
      <c r="D44" s="5" t="s">
        <v>92</v>
      </c>
      <c r="E44" s="6"/>
      <c r="F44" s="6"/>
      <c r="G44" s="6"/>
      <c r="H44" s="6"/>
      <c r="I44" s="6"/>
      <c r="J44" s="3" t="str">
        <f t="shared" si="2"/>
        <v/>
      </c>
      <c r="K44" s="3" t="str">
        <f t="shared" si="3"/>
        <v/>
      </c>
      <c r="L44" s="5"/>
    </row>
    <row r="45" spans="1:12" ht="120" x14ac:dyDescent="0.25">
      <c r="A45" s="3">
        <v>44</v>
      </c>
      <c r="B45" s="3" t="s">
        <v>89</v>
      </c>
      <c r="C45" s="3" t="s">
        <v>46</v>
      </c>
      <c r="D45" s="5" t="s">
        <v>93</v>
      </c>
      <c r="E45" s="6"/>
      <c r="F45" s="6"/>
      <c r="G45" s="6"/>
      <c r="H45" s="6"/>
      <c r="I45" s="6"/>
      <c r="J45" s="3" t="str">
        <f t="shared" si="2"/>
        <v/>
      </c>
      <c r="K45" s="3" t="str">
        <f t="shared" si="3"/>
        <v/>
      </c>
      <c r="L45" s="5"/>
    </row>
    <row r="46" spans="1:12" ht="90" x14ac:dyDescent="0.25">
      <c r="A46" s="3">
        <v>45</v>
      </c>
      <c r="B46" s="3" t="s">
        <v>89</v>
      </c>
      <c r="C46" s="3" t="s">
        <v>46</v>
      </c>
      <c r="D46" s="5" t="s">
        <v>94</v>
      </c>
      <c r="E46" s="6"/>
      <c r="F46" s="6"/>
      <c r="G46" s="6"/>
      <c r="H46" s="6"/>
      <c r="I46" s="6"/>
      <c r="J46" s="3" t="str">
        <f t="shared" si="2"/>
        <v/>
      </c>
      <c r="K46" s="3" t="str">
        <f t="shared" si="3"/>
        <v/>
      </c>
      <c r="L46" s="5"/>
    </row>
    <row r="47" spans="1:12" ht="105" x14ac:dyDescent="0.25">
      <c r="A47" s="3">
        <v>46</v>
      </c>
      <c r="B47" s="3" t="s">
        <v>89</v>
      </c>
      <c r="C47" s="3" t="s">
        <v>46</v>
      </c>
      <c r="D47" s="5" t="s">
        <v>95</v>
      </c>
      <c r="E47" s="6"/>
      <c r="F47" s="6"/>
      <c r="G47" s="6"/>
      <c r="H47" s="6"/>
      <c r="I47" s="6"/>
      <c r="J47" s="3" t="str">
        <f t="shared" si="2"/>
        <v/>
      </c>
      <c r="K47" s="3" t="str">
        <f t="shared" si="3"/>
        <v/>
      </c>
      <c r="L47" s="5"/>
    </row>
    <row r="48" spans="1:12" ht="90" x14ac:dyDescent="0.25">
      <c r="A48" s="3">
        <v>47</v>
      </c>
      <c r="B48" s="3" t="s">
        <v>89</v>
      </c>
      <c r="C48" s="3" t="s">
        <v>46</v>
      </c>
      <c r="D48" s="5" t="s">
        <v>96</v>
      </c>
      <c r="E48" s="6"/>
      <c r="F48" s="6"/>
      <c r="G48" s="6"/>
      <c r="H48" s="6"/>
      <c r="I48" s="6"/>
      <c r="J48" s="3" t="str">
        <f t="shared" si="2"/>
        <v/>
      </c>
      <c r="K48" s="3" t="str">
        <f t="shared" si="3"/>
        <v/>
      </c>
      <c r="L48" s="5"/>
    </row>
    <row r="49" spans="1:12" ht="90" x14ac:dyDescent="0.25">
      <c r="A49" s="3">
        <v>48</v>
      </c>
      <c r="B49" s="3" t="s">
        <v>89</v>
      </c>
      <c r="C49" s="3" t="s">
        <v>46</v>
      </c>
      <c r="D49" s="5" t="s">
        <v>97</v>
      </c>
      <c r="E49" s="6"/>
      <c r="F49" s="6"/>
      <c r="G49" s="6"/>
      <c r="H49" s="6"/>
      <c r="I49" s="6"/>
      <c r="J49" s="3" t="str">
        <f t="shared" si="2"/>
        <v/>
      </c>
      <c r="K49" s="3" t="str">
        <f t="shared" si="3"/>
        <v/>
      </c>
      <c r="L49" s="5"/>
    </row>
    <row r="50" spans="1:12" ht="90" x14ac:dyDescent="0.25">
      <c r="A50" s="3">
        <v>49</v>
      </c>
      <c r="B50" s="3" t="s">
        <v>89</v>
      </c>
      <c r="C50" s="3" t="s">
        <v>46</v>
      </c>
      <c r="D50" s="5" t="s">
        <v>98</v>
      </c>
      <c r="E50" s="6"/>
      <c r="F50" s="6"/>
      <c r="G50" s="6"/>
      <c r="H50" s="6"/>
      <c r="I50" s="6"/>
      <c r="J50" s="3" t="str">
        <f t="shared" si="2"/>
        <v/>
      </c>
      <c r="K50" s="3" t="str">
        <f t="shared" si="3"/>
        <v/>
      </c>
      <c r="L50" s="5"/>
    </row>
    <row r="51" spans="1:12" ht="90" x14ac:dyDescent="0.25">
      <c r="A51" s="3">
        <v>50</v>
      </c>
      <c r="B51" s="3" t="s">
        <v>89</v>
      </c>
      <c r="C51" s="3" t="s">
        <v>46</v>
      </c>
      <c r="D51" s="5" t="s">
        <v>99</v>
      </c>
      <c r="E51" s="6"/>
      <c r="F51" s="6"/>
      <c r="G51" s="6"/>
      <c r="H51" s="6"/>
      <c r="I51" s="6"/>
      <c r="J51" s="3" t="str">
        <f t="shared" si="2"/>
        <v/>
      </c>
      <c r="K51" s="3" t="str">
        <f t="shared" si="3"/>
        <v/>
      </c>
      <c r="L51" s="5"/>
    </row>
    <row r="52" spans="1:12" ht="75" x14ac:dyDescent="0.25">
      <c r="A52" s="3">
        <v>51</v>
      </c>
      <c r="B52" s="3" t="s">
        <v>100</v>
      </c>
      <c r="C52" s="3" t="s">
        <v>46</v>
      </c>
      <c r="D52" s="5" t="s">
        <v>101</v>
      </c>
      <c r="E52" s="6"/>
      <c r="F52" s="6"/>
      <c r="G52" s="6"/>
      <c r="H52" s="6"/>
      <c r="I52" s="6"/>
      <c r="J52" s="3" t="str">
        <f t="shared" si="2"/>
        <v/>
      </c>
      <c r="K52" s="3" t="str">
        <f t="shared" si="3"/>
        <v/>
      </c>
      <c r="L52" s="5"/>
    </row>
    <row r="53" spans="1:12" ht="75" x14ac:dyDescent="0.25">
      <c r="A53" s="3">
        <v>52</v>
      </c>
      <c r="B53" s="3" t="s">
        <v>100</v>
      </c>
      <c r="C53" s="3" t="s">
        <v>46</v>
      </c>
      <c r="D53" s="5" t="s">
        <v>102</v>
      </c>
      <c r="E53" s="6"/>
      <c r="F53" s="6"/>
      <c r="G53" s="6"/>
      <c r="H53" s="6"/>
      <c r="I53" s="6"/>
      <c r="J53" s="3" t="str">
        <f t="shared" si="2"/>
        <v/>
      </c>
      <c r="K53" s="3" t="str">
        <f t="shared" si="3"/>
        <v/>
      </c>
      <c r="L53" s="5"/>
    </row>
    <row r="54" spans="1:12" ht="75" x14ac:dyDescent="0.25">
      <c r="A54" s="3">
        <v>53</v>
      </c>
      <c r="B54" s="3" t="s">
        <v>100</v>
      </c>
      <c r="C54" s="3" t="s">
        <v>46</v>
      </c>
      <c r="D54" s="5" t="s">
        <v>103</v>
      </c>
      <c r="E54" s="6"/>
      <c r="F54" s="6"/>
      <c r="G54" s="6"/>
      <c r="H54" s="6"/>
      <c r="I54" s="6"/>
      <c r="J54" s="3" t="str">
        <f t="shared" si="2"/>
        <v/>
      </c>
      <c r="K54" s="3" t="str">
        <f t="shared" si="3"/>
        <v/>
      </c>
      <c r="L54" s="5"/>
    </row>
    <row r="55" spans="1:12" ht="75" x14ac:dyDescent="0.25">
      <c r="A55" s="3">
        <v>54</v>
      </c>
      <c r="B55" s="3" t="s">
        <v>100</v>
      </c>
      <c r="C55" s="3" t="s">
        <v>46</v>
      </c>
      <c r="D55" s="5" t="s">
        <v>104</v>
      </c>
      <c r="E55" s="6"/>
      <c r="F55" s="6"/>
      <c r="G55" s="6"/>
      <c r="H55" s="6"/>
      <c r="I55" s="6"/>
      <c r="J55" s="3" t="str">
        <f t="shared" si="2"/>
        <v/>
      </c>
      <c r="K55" s="3" t="str">
        <f t="shared" si="3"/>
        <v/>
      </c>
      <c r="L55" s="5"/>
    </row>
    <row r="56" spans="1:12" ht="75" x14ac:dyDescent="0.25">
      <c r="A56" s="3">
        <v>55</v>
      </c>
      <c r="B56" s="3" t="s">
        <v>100</v>
      </c>
      <c r="C56" s="3" t="s">
        <v>46</v>
      </c>
      <c r="D56" s="5" t="s">
        <v>105</v>
      </c>
      <c r="E56" s="6"/>
      <c r="F56" s="6"/>
      <c r="G56" s="6"/>
      <c r="H56" s="6"/>
      <c r="I56" s="6"/>
      <c r="J56" s="3" t="str">
        <f t="shared" si="2"/>
        <v/>
      </c>
      <c r="K56" s="3" t="str">
        <f t="shared" si="3"/>
        <v/>
      </c>
      <c r="L56" s="5"/>
    </row>
    <row r="57" spans="1:12" ht="75" x14ac:dyDescent="0.25">
      <c r="A57" s="3">
        <v>56</v>
      </c>
      <c r="B57" s="3" t="s">
        <v>100</v>
      </c>
      <c r="C57" s="3" t="s">
        <v>46</v>
      </c>
      <c r="D57" s="5" t="s">
        <v>106</v>
      </c>
      <c r="E57" s="6"/>
      <c r="F57" s="6"/>
      <c r="G57" s="6"/>
      <c r="H57" s="6"/>
      <c r="I57" s="6"/>
      <c r="J57" s="3" t="str">
        <f t="shared" si="2"/>
        <v/>
      </c>
      <c r="K57" s="3" t="str">
        <f t="shared" si="3"/>
        <v/>
      </c>
      <c r="L57" s="5"/>
    </row>
    <row r="58" spans="1:12" ht="75" x14ac:dyDescent="0.25">
      <c r="A58" s="3">
        <v>57</v>
      </c>
      <c r="B58" s="3" t="s">
        <v>100</v>
      </c>
      <c r="C58" s="3" t="s">
        <v>46</v>
      </c>
      <c r="D58" s="5" t="s">
        <v>107</v>
      </c>
      <c r="E58" s="6"/>
      <c r="F58" s="6"/>
      <c r="G58" s="6"/>
      <c r="H58" s="6"/>
      <c r="I58" s="6"/>
      <c r="J58" s="3" t="str">
        <f t="shared" si="2"/>
        <v/>
      </c>
      <c r="K58" s="3" t="str">
        <f t="shared" si="3"/>
        <v/>
      </c>
      <c r="L58" s="5"/>
    </row>
    <row r="59" spans="1:12" ht="75" x14ac:dyDescent="0.25">
      <c r="A59" s="3">
        <v>58</v>
      </c>
      <c r="B59" s="3" t="s">
        <v>100</v>
      </c>
      <c r="C59" s="3" t="s">
        <v>46</v>
      </c>
      <c r="D59" s="5" t="s">
        <v>108</v>
      </c>
      <c r="E59" s="6"/>
      <c r="F59" s="6"/>
      <c r="G59" s="6"/>
      <c r="H59" s="6"/>
      <c r="I59" s="6"/>
      <c r="J59" s="3" t="str">
        <f t="shared" si="2"/>
        <v/>
      </c>
      <c r="K59" s="3" t="str">
        <f t="shared" si="3"/>
        <v/>
      </c>
      <c r="L59" s="5"/>
    </row>
    <row r="60" spans="1:12" ht="75" x14ac:dyDescent="0.25">
      <c r="A60" s="3">
        <v>59</v>
      </c>
      <c r="B60" s="3" t="s">
        <v>100</v>
      </c>
      <c r="C60" s="3" t="s">
        <v>46</v>
      </c>
      <c r="D60" s="5" t="s">
        <v>109</v>
      </c>
      <c r="E60" s="6"/>
      <c r="F60" s="6"/>
      <c r="G60" s="6"/>
      <c r="H60" s="6"/>
      <c r="I60" s="6"/>
      <c r="J60" s="3" t="str">
        <f t="shared" si="2"/>
        <v/>
      </c>
      <c r="K60" s="3" t="str">
        <f t="shared" si="3"/>
        <v/>
      </c>
      <c r="L60" s="5"/>
    </row>
    <row r="61" spans="1:12" ht="75" x14ac:dyDescent="0.25">
      <c r="A61" s="3">
        <v>60</v>
      </c>
      <c r="B61" s="3" t="s">
        <v>100</v>
      </c>
      <c r="C61" s="3" t="s">
        <v>46</v>
      </c>
      <c r="D61" s="5" t="s">
        <v>110</v>
      </c>
      <c r="E61" s="6"/>
      <c r="F61" s="6"/>
      <c r="G61" s="6"/>
      <c r="H61" s="6"/>
      <c r="I61" s="6"/>
      <c r="J61" s="3" t="str">
        <f t="shared" si="2"/>
        <v/>
      </c>
      <c r="K61" s="3" t="str">
        <f t="shared" si="3"/>
        <v/>
      </c>
      <c r="L61" s="5"/>
    </row>
    <row r="62" spans="1:12" ht="90" x14ac:dyDescent="0.25">
      <c r="A62" s="3">
        <v>61</v>
      </c>
      <c r="B62" s="3" t="s">
        <v>111</v>
      </c>
      <c r="C62" s="3" t="s">
        <v>46</v>
      </c>
      <c r="D62" s="5" t="s">
        <v>112</v>
      </c>
      <c r="E62" s="6"/>
      <c r="F62" s="6"/>
      <c r="G62" s="6"/>
      <c r="H62" s="6"/>
      <c r="I62" s="6"/>
      <c r="J62" s="3" t="str">
        <f t="shared" si="2"/>
        <v/>
      </c>
      <c r="K62" s="3" t="str">
        <f t="shared" si="3"/>
        <v/>
      </c>
      <c r="L62" s="5"/>
    </row>
    <row r="63" spans="1:12" ht="75" x14ac:dyDescent="0.25">
      <c r="A63" s="3">
        <v>62</v>
      </c>
      <c r="B63" s="3" t="s">
        <v>111</v>
      </c>
      <c r="C63" s="3" t="s">
        <v>46</v>
      </c>
      <c r="D63" s="5" t="s">
        <v>113</v>
      </c>
      <c r="E63" s="6"/>
      <c r="F63" s="6"/>
      <c r="G63" s="6"/>
      <c r="H63" s="6"/>
      <c r="I63" s="6"/>
      <c r="J63" s="3" t="str">
        <f t="shared" si="2"/>
        <v/>
      </c>
      <c r="K63" s="3" t="str">
        <f t="shared" si="3"/>
        <v/>
      </c>
      <c r="L63" s="5"/>
    </row>
    <row r="64" spans="1:12" ht="90" x14ac:dyDescent="0.25">
      <c r="A64" s="3">
        <v>63</v>
      </c>
      <c r="B64" s="3" t="s">
        <v>111</v>
      </c>
      <c r="C64" s="3" t="s">
        <v>46</v>
      </c>
      <c r="D64" s="5" t="s">
        <v>114</v>
      </c>
      <c r="E64" s="6"/>
      <c r="F64" s="6"/>
      <c r="G64" s="6"/>
      <c r="H64" s="6"/>
      <c r="I64" s="6"/>
      <c r="J64" s="3" t="str">
        <f t="shared" si="2"/>
        <v/>
      </c>
      <c r="K64" s="3" t="str">
        <f t="shared" si="3"/>
        <v/>
      </c>
      <c r="L64" s="5"/>
    </row>
    <row r="65" spans="1:12" ht="75" x14ac:dyDescent="0.25">
      <c r="A65" s="3">
        <v>64</v>
      </c>
      <c r="B65" s="3" t="s">
        <v>111</v>
      </c>
      <c r="C65" s="3" t="s">
        <v>46</v>
      </c>
      <c r="D65" s="5" t="s">
        <v>115</v>
      </c>
      <c r="E65" s="6"/>
      <c r="F65" s="6"/>
      <c r="G65" s="6"/>
      <c r="H65" s="6"/>
      <c r="I65" s="6"/>
      <c r="J65" s="3" t="str">
        <f t="shared" si="2"/>
        <v/>
      </c>
      <c r="K65" s="3" t="str">
        <f t="shared" si="3"/>
        <v/>
      </c>
      <c r="L65" s="5"/>
    </row>
    <row r="66" spans="1:12" ht="75" x14ac:dyDescent="0.25">
      <c r="A66" s="3">
        <v>65</v>
      </c>
      <c r="B66" s="3" t="s">
        <v>111</v>
      </c>
      <c r="C66" s="3" t="s">
        <v>46</v>
      </c>
      <c r="D66" s="5" t="s">
        <v>116</v>
      </c>
      <c r="E66" s="6"/>
      <c r="F66" s="6"/>
      <c r="G66" s="6"/>
      <c r="H66" s="6"/>
      <c r="I66" s="6"/>
      <c r="J66" s="3" t="str">
        <f t="shared" ref="J66:J97" si="4">IF(COUNT(E66:I66)=5,AVERAGE(E66:I66),"")</f>
        <v/>
      </c>
      <c r="K66" s="3" t="str">
        <f t="shared" ref="K66:K97" si="5">IF(J66="","",IF(J66&gt;=4,"Đạt","Không"))</f>
        <v/>
      </c>
      <c r="L66" s="5"/>
    </row>
    <row r="67" spans="1:12" ht="75" x14ac:dyDescent="0.25">
      <c r="A67" s="3">
        <v>66</v>
      </c>
      <c r="B67" s="3" t="s">
        <v>111</v>
      </c>
      <c r="C67" s="3" t="s">
        <v>46</v>
      </c>
      <c r="D67" s="5" t="s">
        <v>117</v>
      </c>
      <c r="E67" s="6"/>
      <c r="F67" s="6"/>
      <c r="G67" s="6"/>
      <c r="H67" s="6"/>
      <c r="I67" s="6"/>
      <c r="J67" s="3" t="str">
        <f t="shared" si="4"/>
        <v/>
      </c>
      <c r="K67" s="3" t="str">
        <f t="shared" si="5"/>
        <v/>
      </c>
      <c r="L67" s="5"/>
    </row>
    <row r="68" spans="1:12" ht="75" x14ac:dyDescent="0.25">
      <c r="A68" s="3">
        <v>67</v>
      </c>
      <c r="B68" s="3" t="s">
        <v>111</v>
      </c>
      <c r="C68" s="3" t="s">
        <v>46</v>
      </c>
      <c r="D68" s="5" t="s">
        <v>118</v>
      </c>
      <c r="E68" s="6"/>
      <c r="F68" s="6"/>
      <c r="G68" s="6"/>
      <c r="H68" s="6"/>
      <c r="I68" s="6"/>
      <c r="J68" s="3" t="str">
        <f t="shared" si="4"/>
        <v/>
      </c>
      <c r="K68" s="3" t="str">
        <f t="shared" si="5"/>
        <v/>
      </c>
      <c r="L68" s="5"/>
    </row>
    <row r="69" spans="1:12" ht="75" x14ac:dyDescent="0.25">
      <c r="A69" s="3">
        <v>68</v>
      </c>
      <c r="B69" s="3" t="s">
        <v>111</v>
      </c>
      <c r="C69" s="3" t="s">
        <v>46</v>
      </c>
      <c r="D69" s="5" t="s">
        <v>119</v>
      </c>
      <c r="E69" s="6"/>
      <c r="F69" s="6"/>
      <c r="G69" s="6"/>
      <c r="H69" s="6"/>
      <c r="I69" s="6"/>
      <c r="J69" s="3" t="str">
        <f t="shared" si="4"/>
        <v/>
      </c>
      <c r="K69" s="3" t="str">
        <f t="shared" si="5"/>
        <v/>
      </c>
      <c r="L69" s="5"/>
    </row>
    <row r="70" spans="1:12" ht="75" x14ac:dyDescent="0.25">
      <c r="A70" s="3">
        <v>69</v>
      </c>
      <c r="B70" s="3" t="s">
        <v>111</v>
      </c>
      <c r="C70" s="3" t="s">
        <v>46</v>
      </c>
      <c r="D70" s="5" t="s">
        <v>120</v>
      </c>
      <c r="E70" s="6"/>
      <c r="F70" s="6"/>
      <c r="G70" s="6"/>
      <c r="H70" s="6"/>
      <c r="I70" s="6"/>
      <c r="J70" s="3" t="str">
        <f t="shared" si="4"/>
        <v/>
      </c>
      <c r="K70" s="3" t="str">
        <f t="shared" si="5"/>
        <v/>
      </c>
      <c r="L70" s="5"/>
    </row>
    <row r="71" spans="1:12" ht="75" x14ac:dyDescent="0.25">
      <c r="A71" s="3">
        <v>70</v>
      </c>
      <c r="B71" s="3" t="s">
        <v>111</v>
      </c>
      <c r="C71" s="3" t="s">
        <v>46</v>
      </c>
      <c r="D71" s="5" t="s">
        <v>121</v>
      </c>
      <c r="E71" s="6"/>
      <c r="F71" s="6"/>
      <c r="G71" s="6"/>
      <c r="H71" s="6"/>
      <c r="I71" s="6"/>
      <c r="J71" s="3" t="str">
        <f t="shared" si="4"/>
        <v/>
      </c>
      <c r="K71" s="3" t="str">
        <f t="shared" si="5"/>
        <v/>
      </c>
      <c r="L71" s="5"/>
    </row>
    <row r="72" spans="1:12" ht="75" x14ac:dyDescent="0.25">
      <c r="A72" s="3">
        <v>71</v>
      </c>
      <c r="B72" s="3" t="s">
        <v>122</v>
      </c>
      <c r="C72" s="3" t="s">
        <v>46</v>
      </c>
      <c r="D72" s="5" t="s">
        <v>123</v>
      </c>
      <c r="E72" s="6"/>
      <c r="F72" s="6"/>
      <c r="G72" s="6"/>
      <c r="H72" s="6"/>
      <c r="I72" s="6"/>
      <c r="J72" s="3" t="str">
        <f t="shared" si="4"/>
        <v/>
      </c>
      <c r="K72" s="3" t="str">
        <f t="shared" si="5"/>
        <v/>
      </c>
      <c r="L72" s="5"/>
    </row>
    <row r="73" spans="1:12" ht="75" x14ac:dyDescent="0.25">
      <c r="A73" s="3">
        <v>72</v>
      </c>
      <c r="B73" s="3" t="s">
        <v>122</v>
      </c>
      <c r="C73" s="3" t="s">
        <v>46</v>
      </c>
      <c r="D73" s="5" t="s">
        <v>124</v>
      </c>
      <c r="E73" s="6"/>
      <c r="F73" s="6"/>
      <c r="G73" s="6"/>
      <c r="H73" s="6"/>
      <c r="I73" s="6"/>
      <c r="J73" s="3" t="str">
        <f t="shared" si="4"/>
        <v/>
      </c>
      <c r="K73" s="3" t="str">
        <f t="shared" si="5"/>
        <v/>
      </c>
      <c r="L73" s="5"/>
    </row>
    <row r="74" spans="1:12" ht="75" x14ac:dyDescent="0.25">
      <c r="A74" s="3">
        <v>73</v>
      </c>
      <c r="B74" s="3" t="s">
        <v>122</v>
      </c>
      <c r="C74" s="3" t="s">
        <v>46</v>
      </c>
      <c r="D74" s="5" t="s">
        <v>125</v>
      </c>
      <c r="E74" s="6"/>
      <c r="F74" s="6"/>
      <c r="G74" s="6"/>
      <c r="H74" s="6"/>
      <c r="I74" s="6"/>
      <c r="J74" s="3" t="str">
        <f t="shared" si="4"/>
        <v/>
      </c>
      <c r="K74" s="3" t="str">
        <f t="shared" si="5"/>
        <v/>
      </c>
      <c r="L74" s="5"/>
    </row>
    <row r="75" spans="1:12" ht="75" x14ac:dyDescent="0.25">
      <c r="A75" s="3">
        <v>74</v>
      </c>
      <c r="B75" s="3" t="s">
        <v>122</v>
      </c>
      <c r="C75" s="3" t="s">
        <v>46</v>
      </c>
      <c r="D75" s="5" t="s">
        <v>126</v>
      </c>
      <c r="E75" s="6"/>
      <c r="F75" s="6"/>
      <c r="G75" s="6"/>
      <c r="H75" s="6"/>
      <c r="I75" s="6"/>
      <c r="J75" s="3" t="str">
        <f t="shared" si="4"/>
        <v/>
      </c>
      <c r="K75" s="3" t="str">
        <f t="shared" si="5"/>
        <v/>
      </c>
      <c r="L75" s="5"/>
    </row>
    <row r="76" spans="1:12" ht="75" x14ac:dyDescent="0.25">
      <c r="A76" s="3">
        <v>75</v>
      </c>
      <c r="B76" s="3" t="s">
        <v>122</v>
      </c>
      <c r="C76" s="3" t="s">
        <v>46</v>
      </c>
      <c r="D76" s="5" t="s">
        <v>127</v>
      </c>
      <c r="E76" s="6"/>
      <c r="F76" s="6"/>
      <c r="G76" s="6"/>
      <c r="H76" s="6"/>
      <c r="I76" s="6"/>
      <c r="J76" s="3" t="str">
        <f t="shared" si="4"/>
        <v/>
      </c>
      <c r="K76" s="3" t="str">
        <f t="shared" si="5"/>
        <v/>
      </c>
      <c r="L76" s="5"/>
    </row>
    <row r="77" spans="1:12" ht="75" x14ac:dyDescent="0.25">
      <c r="A77" s="3">
        <v>76</v>
      </c>
      <c r="B77" s="3" t="s">
        <v>122</v>
      </c>
      <c r="C77" s="3" t="s">
        <v>46</v>
      </c>
      <c r="D77" s="5" t="s">
        <v>128</v>
      </c>
      <c r="E77" s="6"/>
      <c r="F77" s="6"/>
      <c r="G77" s="6"/>
      <c r="H77" s="6"/>
      <c r="I77" s="6"/>
      <c r="J77" s="3" t="str">
        <f t="shared" si="4"/>
        <v/>
      </c>
      <c r="K77" s="3" t="str">
        <f t="shared" si="5"/>
        <v/>
      </c>
      <c r="L77" s="5"/>
    </row>
    <row r="78" spans="1:12" ht="75" x14ac:dyDescent="0.25">
      <c r="A78" s="3">
        <v>77</v>
      </c>
      <c r="B78" s="3" t="s">
        <v>122</v>
      </c>
      <c r="C78" s="3" t="s">
        <v>46</v>
      </c>
      <c r="D78" s="5" t="s">
        <v>129</v>
      </c>
      <c r="E78" s="6"/>
      <c r="F78" s="6"/>
      <c r="G78" s="6"/>
      <c r="H78" s="6"/>
      <c r="I78" s="6"/>
      <c r="J78" s="3" t="str">
        <f t="shared" si="4"/>
        <v/>
      </c>
      <c r="K78" s="3" t="str">
        <f t="shared" si="5"/>
        <v/>
      </c>
      <c r="L78" s="5"/>
    </row>
    <row r="79" spans="1:12" ht="75" x14ac:dyDescent="0.25">
      <c r="A79" s="3">
        <v>78</v>
      </c>
      <c r="B79" s="3" t="s">
        <v>122</v>
      </c>
      <c r="C79" s="3" t="s">
        <v>46</v>
      </c>
      <c r="D79" s="5" t="s">
        <v>130</v>
      </c>
      <c r="E79" s="6"/>
      <c r="F79" s="6"/>
      <c r="G79" s="6"/>
      <c r="H79" s="6"/>
      <c r="I79" s="6"/>
      <c r="J79" s="3" t="str">
        <f t="shared" si="4"/>
        <v/>
      </c>
      <c r="K79" s="3" t="str">
        <f t="shared" si="5"/>
        <v/>
      </c>
      <c r="L79" s="5"/>
    </row>
    <row r="80" spans="1:12" ht="75" x14ac:dyDescent="0.25">
      <c r="A80" s="3">
        <v>79</v>
      </c>
      <c r="B80" s="3" t="s">
        <v>122</v>
      </c>
      <c r="C80" s="3" t="s">
        <v>46</v>
      </c>
      <c r="D80" s="5" t="s">
        <v>131</v>
      </c>
      <c r="E80" s="6"/>
      <c r="F80" s="6"/>
      <c r="G80" s="6"/>
      <c r="H80" s="6"/>
      <c r="I80" s="6"/>
      <c r="J80" s="3" t="str">
        <f t="shared" si="4"/>
        <v/>
      </c>
      <c r="K80" s="3" t="str">
        <f t="shared" si="5"/>
        <v/>
      </c>
      <c r="L80" s="5"/>
    </row>
    <row r="81" spans="1:12" ht="75" x14ac:dyDescent="0.25">
      <c r="A81" s="3">
        <v>80</v>
      </c>
      <c r="B81" s="3" t="s">
        <v>122</v>
      </c>
      <c r="C81" s="3" t="s">
        <v>46</v>
      </c>
      <c r="D81" s="5" t="s">
        <v>132</v>
      </c>
      <c r="E81" s="6"/>
      <c r="F81" s="6"/>
      <c r="G81" s="6"/>
      <c r="H81" s="6"/>
      <c r="I81" s="6"/>
      <c r="J81" s="3" t="str">
        <f t="shared" si="4"/>
        <v/>
      </c>
      <c r="K81" s="3" t="str">
        <f t="shared" si="5"/>
        <v/>
      </c>
      <c r="L81" s="5"/>
    </row>
    <row r="82" spans="1:12" ht="75" x14ac:dyDescent="0.25">
      <c r="A82" s="3">
        <v>81</v>
      </c>
      <c r="B82" s="3" t="s">
        <v>133</v>
      </c>
      <c r="C82" s="3" t="s">
        <v>46</v>
      </c>
      <c r="D82" s="5" t="s">
        <v>134</v>
      </c>
      <c r="E82" s="6"/>
      <c r="F82" s="6"/>
      <c r="G82" s="6"/>
      <c r="H82" s="6"/>
      <c r="I82" s="6"/>
      <c r="J82" s="3" t="str">
        <f t="shared" si="4"/>
        <v/>
      </c>
      <c r="K82" s="3" t="str">
        <f t="shared" si="5"/>
        <v/>
      </c>
      <c r="L82" s="5"/>
    </row>
    <row r="83" spans="1:12" ht="75" x14ac:dyDescent="0.25">
      <c r="A83" s="3">
        <v>82</v>
      </c>
      <c r="B83" s="3" t="s">
        <v>133</v>
      </c>
      <c r="C83" s="3" t="s">
        <v>46</v>
      </c>
      <c r="D83" s="5" t="s">
        <v>135</v>
      </c>
      <c r="E83" s="6"/>
      <c r="F83" s="6"/>
      <c r="G83" s="6"/>
      <c r="H83" s="6"/>
      <c r="I83" s="6"/>
      <c r="J83" s="3" t="str">
        <f t="shared" si="4"/>
        <v/>
      </c>
      <c r="K83" s="3" t="str">
        <f t="shared" si="5"/>
        <v/>
      </c>
      <c r="L83" s="5"/>
    </row>
    <row r="84" spans="1:12" ht="75" x14ac:dyDescent="0.25">
      <c r="A84" s="3">
        <v>83</v>
      </c>
      <c r="B84" s="3" t="s">
        <v>133</v>
      </c>
      <c r="C84" s="3" t="s">
        <v>46</v>
      </c>
      <c r="D84" s="5" t="s">
        <v>136</v>
      </c>
      <c r="E84" s="6"/>
      <c r="F84" s="6"/>
      <c r="G84" s="6"/>
      <c r="H84" s="6"/>
      <c r="I84" s="6"/>
      <c r="J84" s="3" t="str">
        <f t="shared" si="4"/>
        <v/>
      </c>
      <c r="K84" s="3" t="str">
        <f t="shared" si="5"/>
        <v/>
      </c>
      <c r="L84" s="5"/>
    </row>
    <row r="85" spans="1:12" ht="75" x14ac:dyDescent="0.25">
      <c r="A85" s="3">
        <v>84</v>
      </c>
      <c r="B85" s="3" t="s">
        <v>133</v>
      </c>
      <c r="C85" s="3" t="s">
        <v>46</v>
      </c>
      <c r="D85" s="5" t="s">
        <v>137</v>
      </c>
      <c r="E85" s="6"/>
      <c r="F85" s="6"/>
      <c r="G85" s="6"/>
      <c r="H85" s="6"/>
      <c r="I85" s="6"/>
      <c r="J85" s="3" t="str">
        <f t="shared" si="4"/>
        <v/>
      </c>
      <c r="K85" s="3" t="str">
        <f t="shared" si="5"/>
        <v/>
      </c>
      <c r="L85" s="5"/>
    </row>
    <row r="86" spans="1:12" ht="75" x14ac:dyDescent="0.25">
      <c r="A86" s="3">
        <v>85</v>
      </c>
      <c r="B86" s="3" t="s">
        <v>133</v>
      </c>
      <c r="C86" s="3" t="s">
        <v>46</v>
      </c>
      <c r="D86" s="5" t="s">
        <v>138</v>
      </c>
      <c r="E86" s="6"/>
      <c r="F86" s="6"/>
      <c r="G86" s="6"/>
      <c r="H86" s="6"/>
      <c r="I86" s="6"/>
      <c r="J86" s="3" t="str">
        <f t="shared" si="4"/>
        <v/>
      </c>
      <c r="K86" s="3" t="str">
        <f t="shared" si="5"/>
        <v/>
      </c>
      <c r="L86" s="5"/>
    </row>
    <row r="87" spans="1:12" ht="90" x14ac:dyDescent="0.25">
      <c r="A87" s="3">
        <v>86</v>
      </c>
      <c r="B87" s="3" t="s">
        <v>133</v>
      </c>
      <c r="C87" s="3" t="s">
        <v>46</v>
      </c>
      <c r="D87" s="5" t="s">
        <v>139</v>
      </c>
      <c r="E87" s="6"/>
      <c r="F87" s="6"/>
      <c r="G87" s="6"/>
      <c r="H87" s="6"/>
      <c r="I87" s="6"/>
      <c r="J87" s="3" t="str">
        <f t="shared" si="4"/>
        <v/>
      </c>
      <c r="K87" s="3" t="str">
        <f t="shared" si="5"/>
        <v/>
      </c>
      <c r="L87" s="5"/>
    </row>
    <row r="88" spans="1:12" ht="75" x14ac:dyDescent="0.25">
      <c r="A88" s="3">
        <v>87</v>
      </c>
      <c r="B88" s="3" t="s">
        <v>133</v>
      </c>
      <c r="C88" s="3" t="s">
        <v>46</v>
      </c>
      <c r="D88" s="5" t="s">
        <v>140</v>
      </c>
      <c r="E88" s="6"/>
      <c r="F88" s="6"/>
      <c r="G88" s="6"/>
      <c r="H88" s="6"/>
      <c r="I88" s="6"/>
      <c r="J88" s="3" t="str">
        <f t="shared" si="4"/>
        <v/>
      </c>
      <c r="K88" s="3" t="str">
        <f t="shared" si="5"/>
        <v/>
      </c>
      <c r="L88" s="5"/>
    </row>
    <row r="89" spans="1:12" ht="75" x14ac:dyDescent="0.25">
      <c r="A89" s="3">
        <v>88</v>
      </c>
      <c r="B89" s="3" t="s">
        <v>133</v>
      </c>
      <c r="C89" s="3" t="s">
        <v>46</v>
      </c>
      <c r="D89" s="5" t="s">
        <v>141</v>
      </c>
      <c r="E89" s="6"/>
      <c r="F89" s="6"/>
      <c r="G89" s="6"/>
      <c r="H89" s="6"/>
      <c r="I89" s="6"/>
      <c r="J89" s="3" t="str">
        <f t="shared" si="4"/>
        <v/>
      </c>
      <c r="K89" s="3" t="str">
        <f t="shared" si="5"/>
        <v/>
      </c>
      <c r="L89" s="5"/>
    </row>
    <row r="90" spans="1:12" ht="75" x14ac:dyDescent="0.25">
      <c r="A90" s="3">
        <v>89</v>
      </c>
      <c r="B90" s="3" t="s">
        <v>133</v>
      </c>
      <c r="C90" s="3" t="s">
        <v>46</v>
      </c>
      <c r="D90" s="5" t="s">
        <v>142</v>
      </c>
      <c r="E90" s="6"/>
      <c r="F90" s="6"/>
      <c r="G90" s="6"/>
      <c r="H90" s="6"/>
      <c r="I90" s="6"/>
      <c r="J90" s="3" t="str">
        <f t="shared" si="4"/>
        <v/>
      </c>
      <c r="K90" s="3" t="str">
        <f t="shared" si="5"/>
        <v/>
      </c>
      <c r="L90" s="5"/>
    </row>
    <row r="91" spans="1:12" ht="75" x14ac:dyDescent="0.25">
      <c r="A91" s="3">
        <v>90</v>
      </c>
      <c r="B91" s="3" t="s">
        <v>133</v>
      </c>
      <c r="C91" s="3" t="s">
        <v>46</v>
      </c>
      <c r="D91" s="5" t="s">
        <v>143</v>
      </c>
      <c r="E91" s="6"/>
      <c r="F91" s="6"/>
      <c r="G91" s="6"/>
      <c r="H91" s="6"/>
      <c r="I91" s="6"/>
      <c r="J91" s="3" t="str">
        <f t="shared" si="4"/>
        <v/>
      </c>
      <c r="K91" s="3" t="str">
        <f t="shared" si="5"/>
        <v/>
      </c>
      <c r="L91" s="5"/>
    </row>
    <row r="92" spans="1:12" ht="75" x14ac:dyDescent="0.25">
      <c r="A92" s="3">
        <v>91</v>
      </c>
      <c r="B92" s="3" t="s">
        <v>144</v>
      </c>
      <c r="C92" s="3" t="s">
        <v>46</v>
      </c>
      <c r="D92" s="5" t="s">
        <v>145</v>
      </c>
      <c r="E92" s="6"/>
      <c r="F92" s="6"/>
      <c r="G92" s="6"/>
      <c r="H92" s="6"/>
      <c r="I92" s="6"/>
      <c r="J92" s="3" t="str">
        <f t="shared" si="4"/>
        <v/>
      </c>
      <c r="K92" s="3" t="str">
        <f t="shared" si="5"/>
        <v/>
      </c>
      <c r="L92" s="5"/>
    </row>
    <row r="93" spans="1:12" ht="75" x14ac:dyDescent="0.25">
      <c r="A93" s="3">
        <v>92</v>
      </c>
      <c r="B93" s="3" t="s">
        <v>144</v>
      </c>
      <c r="C93" s="3" t="s">
        <v>46</v>
      </c>
      <c r="D93" s="5" t="s">
        <v>146</v>
      </c>
      <c r="E93" s="6"/>
      <c r="F93" s="6"/>
      <c r="G93" s="6"/>
      <c r="H93" s="6"/>
      <c r="I93" s="6"/>
      <c r="J93" s="3" t="str">
        <f t="shared" si="4"/>
        <v/>
      </c>
      <c r="K93" s="3" t="str">
        <f t="shared" si="5"/>
        <v/>
      </c>
      <c r="L93" s="5"/>
    </row>
    <row r="94" spans="1:12" ht="90" x14ac:dyDescent="0.25">
      <c r="A94" s="3">
        <v>93</v>
      </c>
      <c r="B94" s="3" t="s">
        <v>144</v>
      </c>
      <c r="C94" s="3" t="s">
        <v>46</v>
      </c>
      <c r="D94" s="5" t="s">
        <v>147</v>
      </c>
      <c r="E94" s="6"/>
      <c r="F94" s="6"/>
      <c r="G94" s="6"/>
      <c r="H94" s="6"/>
      <c r="I94" s="6"/>
      <c r="J94" s="3" t="str">
        <f t="shared" si="4"/>
        <v/>
      </c>
      <c r="K94" s="3" t="str">
        <f t="shared" si="5"/>
        <v/>
      </c>
      <c r="L94" s="5"/>
    </row>
    <row r="95" spans="1:12" ht="75" x14ac:dyDescent="0.25">
      <c r="A95" s="3">
        <v>94</v>
      </c>
      <c r="B95" s="3" t="s">
        <v>144</v>
      </c>
      <c r="C95" s="3" t="s">
        <v>46</v>
      </c>
      <c r="D95" s="5" t="s">
        <v>148</v>
      </c>
      <c r="E95" s="6"/>
      <c r="F95" s="6"/>
      <c r="G95" s="6"/>
      <c r="H95" s="6"/>
      <c r="I95" s="6"/>
      <c r="J95" s="3" t="str">
        <f t="shared" si="4"/>
        <v/>
      </c>
      <c r="K95" s="3" t="str">
        <f t="shared" si="5"/>
        <v/>
      </c>
      <c r="L95" s="5"/>
    </row>
    <row r="96" spans="1:12" ht="75" x14ac:dyDescent="0.25">
      <c r="A96" s="3">
        <v>95</v>
      </c>
      <c r="B96" s="3" t="s">
        <v>144</v>
      </c>
      <c r="C96" s="3" t="s">
        <v>46</v>
      </c>
      <c r="D96" s="5" t="s">
        <v>149</v>
      </c>
      <c r="E96" s="6"/>
      <c r="F96" s="6"/>
      <c r="G96" s="6"/>
      <c r="H96" s="6"/>
      <c r="I96" s="6"/>
      <c r="J96" s="3" t="str">
        <f t="shared" si="4"/>
        <v/>
      </c>
      <c r="K96" s="3" t="str">
        <f t="shared" si="5"/>
        <v/>
      </c>
      <c r="L96" s="5"/>
    </row>
    <row r="97" spans="1:12" ht="75" x14ac:dyDescent="0.25">
      <c r="A97" s="3">
        <v>96</v>
      </c>
      <c r="B97" s="3" t="s">
        <v>144</v>
      </c>
      <c r="C97" s="3" t="s">
        <v>46</v>
      </c>
      <c r="D97" s="5" t="s">
        <v>150</v>
      </c>
      <c r="E97" s="6"/>
      <c r="F97" s="6"/>
      <c r="G97" s="6"/>
      <c r="H97" s="6"/>
      <c r="I97" s="6"/>
      <c r="J97" s="3" t="str">
        <f t="shared" si="4"/>
        <v/>
      </c>
      <c r="K97" s="3" t="str">
        <f t="shared" si="5"/>
        <v/>
      </c>
      <c r="L97" s="5"/>
    </row>
    <row r="98" spans="1:12" ht="75" x14ac:dyDescent="0.25">
      <c r="A98" s="3">
        <v>97</v>
      </c>
      <c r="B98" s="3" t="s">
        <v>144</v>
      </c>
      <c r="C98" s="3" t="s">
        <v>46</v>
      </c>
      <c r="D98" s="5" t="s">
        <v>151</v>
      </c>
      <c r="E98" s="6"/>
      <c r="F98" s="6"/>
      <c r="G98" s="6"/>
      <c r="H98" s="6"/>
      <c r="I98" s="6"/>
      <c r="J98" s="3" t="str">
        <f t="shared" ref="J98:J129" si="6">IF(COUNT(E98:I98)=5,AVERAGE(E98:I98),"")</f>
        <v/>
      </c>
      <c r="K98" s="3" t="str">
        <f t="shared" ref="K98:K129" si="7">IF(J98="","",IF(J98&gt;=4,"Đạt","Không"))</f>
        <v/>
      </c>
      <c r="L98" s="5"/>
    </row>
    <row r="99" spans="1:12" ht="75" x14ac:dyDescent="0.25">
      <c r="A99" s="3">
        <v>98</v>
      </c>
      <c r="B99" s="3" t="s">
        <v>144</v>
      </c>
      <c r="C99" s="3" t="s">
        <v>46</v>
      </c>
      <c r="D99" s="5" t="s">
        <v>152</v>
      </c>
      <c r="E99" s="6"/>
      <c r="F99" s="6"/>
      <c r="G99" s="6"/>
      <c r="H99" s="6"/>
      <c r="I99" s="6"/>
      <c r="J99" s="3" t="str">
        <f t="shared" si="6"/>
        <v/>
      </c>
      <c r="K99" s="3" t="str">
        <f t="shared" si="7"/>
        <v/>
      </c>
      <c r="L99" s="5"/>
    </row>
    <row r="100" spans="1:12" ht="75" x14ac:dyDescent="0.25">
      <c r="A100" s="3">
        <v>99</v>
      </c>
      <c r="B100" s="3" t="s">
        <v>144</v>
      </c>
      <c r="C100" s="3" t="s">
        <v>46</v>
      </c>
      <c r="D100" s="5" t="s">
        <v>153</v>
      </c>
      <c r="E100" s="6"/>
      <c r="F100" s="6"/>
      <c r="G100" s="6"/>
      <c r="H100" s="6"/>
      <c r="I100" s="6"/>
      <c r="J100" s="3" t="str">
        <f t="shared" si="6"/>
        <v/>
      </c>
      <c r="K100" s="3" t="str">
        <f t="shared" si="7"/>
        <v/>
      </c>
      <c r="L100" s="5"/>
    </row>
    <row r="101" spans="1:12" ht="75" x14ac:dyDescent="0.25">
      <c r="A101" s="3">
        <v>100</v>
      </c>
      <c r="B101" s="3" t="s">
        <v>144</v>
      </c>
      <c r="C101" s="3" t="s">
        <v>46</v>
      </c>
      <c r="D101" s="5" t="s">
        <v>154</v>
      </c>
      <c r="E101" s="6"/>
      <c r="F101" s="6"/>
      <c r="G101" s="6"/>
      <c r="H101" s="6"/>
      <c r="I101" s="6"/>
      <c r="J101" s="3" t="str">
        <f t="shared" si="6"/>
        <v/>
      </c>
      <c r="K101" s="3" t="str">
        <f t="shared" si="7"/>
        <v/>
      </c>
      <c r="L101" s="5"/>
    </row>
    <row r="102" spans="1:12" ht="75" x14ac:dyDescent="0.25">
      <c r="A102" s="3">
        <v>101</v>
      </c>
      <c r="B102" s="3" t="s">
        <v>155</v>
      </c>
      <c r="C102" s="3" t="s">
        <v>46</v>
      </c>
      <c r="D102" s="5" t="s">
        <v>156</v>
      </c>
      <c r="E102" s="6"/>
      <c r="F102" s="6"/>
      <c r="G102" s="6"/>
      <c r="H102" s="6"/>
      <c r="I102" s="6"/>
      <c r="J102" s="3" t="str">
        <f t="shared" si="6"/>
        <v/>
      </c>
      <c r="K102" s="3" t="str">
        <f t="shared" si="7"/>
        <v/>
      </c>
      <c r="L102" s="5"/>
    </row>
    <row r="103" spans="1:12" ht="75" x14ac:dyDescent="0.25">
      <c r="A103" s="3">
        <v>102</v>
      </c>
      <c r="B103" s="3" t="s">
        <v>155</v>
      </c>
      <c r="C103" s="3" t="s">
        <v>46</v>
      </c>
      <c r="D103" s="5" t="s">
        <v>157</v>
      </c>
      <c r="E103" s="6"/>
      <c r="F103" s="6"/>
      <c r="G103" s="6"/>
      <c r="H103" s="6"/>
      <c r="I103" s="6"/>
      <c r="J103" s="3" t="str">
        <f t="shared" si="6"/>
        <v/>
      </c>
      <c r="K103" s="3" t="str">
        <f t="shared" si="7"/>
        <v/>
      </c>
      <c r="L103" s="5"/>
    </row>
    <row r="104" spans="1:12" ht="75" x14ac:dyDescent="0.25">
      <c r="A104" s="3">
        <v>103</v>
      </c>
      <c r="B104" s="3" t="s">
        <v>155</v>
      </c>
      <c r="C104" s="3" t="s">
        <v>46</v>
      </c>
      <c r="D104" s="5" t="s">
        <v>158</v>
      </c>
      <c r="E104" s="6"/>
      <c r="F104" s="6"/>
      <c r="G104" s="6"/>
      <c r="H104" s="6"/>
      <c r="I104" s="6"/>
      <c r="J104" s="3" t="str">
        <f t="shared" si="6"/>
        <v/>
      </c>
      <c r="K104" s="3" t="str">
        <f t="shared" si="7"/>
        <v/>
      </c>
      <c r="L104" s="5"/>
    </row>
    <row r="105" spans="1:12" ht="75" x14ac:dyDescent="0.25">
      <c r="A105" s="3">
        <v>104</v>
      </c>
      <c r="B105" s="3" t="s">
        <v>155</v>
      </c>
      <c r="C105" s="3" t="s">
        <v>46</v>
      </c>
      <c r="D105" s="5" t="s">
        <v>159</v>
      </c>
      <c r="E105" s="6"/>
      <c r="F105" s="6"/>
      <c r="G105" s="6"/>
      <c r="H105" s="6"/>
      <c r="I105" s="6"/>
      <c r="J105" s="3" t="str">
        <f t="shared" si="6"/>
        <v/>
      </c>
      <c r="K105" s="3" t="str">
        <f t="shared" si="7"/>
        <v/>
      </c>
      <c r="L105" s="5"/>
    </row>
    <row r="106" spans="1:12" ht="75" x14ac:dyDescent="0.25">
      <c r="A106" s="3">
        <v>105</v>
      </c>
      <c r="B106" s="3" t="s">
        <v>155</v>
      </c>
      <c r="C106" s="3" t="s">
        <v>46</v>
      </c>
      <c r="D106" s="5" t="s">
        <v>160</v>
      </c>
      <c r="E106" s="6"/>
      <c r="F106" s="6"/>
      <c r="G106" s="6"/>
      <c r="H106" s="6"/>
      <c r="I106" s="6"/>
      <c r="J106" s="3" t="str">
        <f t="shared" si="6"/>
        <v/>
      </c>
      <c r="K106" s="3" t="str">
        <f t="shared" si="7"/>
        <v/>
      </c>
      <c r="L106" s="5"/>
    </row>
    <row r="107" spans="1:12" ht="75" x14ac:dyDescent="0.25">
      <c r="A107" s="3">
        <v>106</v>
      </c>
      <c r="B107" s="3" t="s">
        <v>155</v>
      </c>
      <c r="C107" s="3" t="s">
        <v>46</v>
      </c>
      <c r="D107" s="5" t="s">
        <v>161</v>
      </c>
      <c r="E107" s="6"/>
      <c r="F107" s="6"/>
      <c r="G107" s="6"/>
      <c r="H107" s="6"/>
      <c r="I107" s="6"/>
      <c r="J107" s="3" t="str">
        <f t="shared" si="6"/>
        <v/>
      </c>
      <c r="K107" s="3" t="str">
        <f t="shared" si="7"/>
        <v/>
      </c>
      <c r="L107" s="5"/>
    </row>
    <row r="108" spans="1:12" ht="75" x14ac:dyDescent="0.25">
      <c r="A108" s="3">
        <v>107</v>
      </c>
      <c r="B108" s="3" t="s">
        <v>155</v>
      </c>
      <c r="C108" s="3" t="s">
        <v>46</v>
      </c>
      <c r="D108" s="5" t="s">
        <v>162</v>
      </c>
      <c r="E108" s="6"/>
      <c r="F108" s="6"/>
      <c r="G108" s="6"/>
      <c r="H108" s="6"/>
      <c r="I108" s="6"/>
      <c r="J108" s="3" t="str">
        <f t="shared" si="6"/>
        <v/>
      </c>
      <c r="K108" s="3" t="str">
        <f t="shared" si="7"/>
        <v/>
      </c>
      <c r="L108" s="5"/>
    </row>
    <row r="109" spans="1:12" ht="75" x14ac:dyDescent="0.25">
      <c r="A109" s="3">
        <v>108</v>
      </c>
      <c r="B109" s="3" t="s">
        <v>155</v>
      </c>
      <c r="C109" s="3" t="s">
        <v>46</v>
      </c>
      <c r="D109" s="5" t="s">
        <v>163</v>
      </c>
      <c r="E109" s="6"/>
      <c r="F109" s="6"/>
      <c r="G109" s="6"/>
      <c r="H109" s="6"/>
      <c r="I109" s="6"/>
      <c r="J109" s="3" t="str">
        <f t="shared" si="6"/>
        <v/>
      </c>
      <c r="K109" s="3" t="str">
        <f t="shared" si="7"/>
        <v/>
      </c>
      <c r="L109" s="5"/>
    </row>
    <row r="110" spans="1:12" ht="75" x14ac:dyDescent="0.25">
      <c r="A110" s="3">
        <v>109</v>
      </c>
      <c r="B110" s="3" t="s">
        <v>155</v>
      </c>
      <c r="C110" s="3" t="s">
        <v>46</v>
      </c>
      <c r="D110" s="5" t="s">
        <v>164</v>
      </c>
      <c r="E110" s="6"/>
      <c r="F110" s="6"/>
      <c r="G110" s="6"/>
      <c r="H110" s="6"/>
      <c r="I110" s="6"/>
      <c r="J110" s="3" t="str">
        <f t="shared" si="6"/>
        <v/>
      </c>
      <c r="K110" s="3" t="str">
        <f t="shared" si="7"/>
        <v/>
      </c>
      <c r="L110" s="5"/>
    </row>
    <row r="111" spans="1:12" ht="75" x14ac:dyDescent="0.25">
      <c r="A111" s="3">
        <v>110</v>
      </c>
      <c r="B111" s="3" t="s">
        <v>155</v>
      </c>
      <c r="C111" s="3" t="s">
        <v>46</v>
      </c>
      <c r="D111" s="5" t="s">
        <v>165</v>
      </c>
      <c r="E111" s="6"/>
      <c r="F111" s="6"/>
      <c r="G111" s="6"/>
      <c r="H111" s="6"/>
      <c r="I111" s="6"/>
      <c r="J111" s="3" t="str">
        <f t="shared" si="6"/>
        <v/>
      </c>
      <c r="K111" s="3" t="str">
        <f t="shared" si="7"/>
        <v/>
      </c>
      <c r="L111" s="5"/>
    </row>
    <row r="112" spans="1:12" ht="75" x14ac:dyDescent="0.25">
      <c r="A112" s="3">
        <v>111</v>
      </c>
      <c r="B112" s="3" t="s">
        <v>166</v>
      </c>
      <c r="C112" s="3" t="s">
        <v>46</v>
      </c>
      <c r="D112" s="5" t="s">
        <v>167</v>
      </c>
      <c r="E112" s="6"/>
      <c r="F112" s="6"/>
      <c r="G112" s="6"/>
      <c r="H112" s="6"/>
      <c r="I112" s="6"/>
      <c r="J112" s="3" t="str">
        <f t="shared" si="6"/>
        <v/>
      </c>
      <c r="K112" s="3" t="str">
        <f t="shared" si="7"/>
        <v/>
      </c>
      <c r="L112" s="5"/>
    </row>
    <row r="113" spans="1:12" ht="75" x14ac:dyDescent="0.25">
      <c r="A113" s="3">
        <v>112</v>
      </c>
      <c r="B113" s="3" t="s">
        <v>166</v>
      </c>
      <c r="C113" s="3" t="s">
        <v>46</v>
      </c>
      <c r="D113" s="5" t="s">
        <v>168</v>
      </c>
      <c r="E113" s="6"/>
      <c r="F113" s="6"/>
      <c r="G113" s="6"/>
      <c r="H113" s="6"/>
      <c r="I113" s="6"/>
      <c r="J113" s="3" t="str">
        <f t="shared" si="6"/>
        <v/>
      </c>
      <c r="K113" s="3" t="str">
        <f t="shared" si="7"/>
        <v/>
      </c>
      <c r="L113" s="5"/>
    </row>
    <row r="114" spans="1:12" ht="75" x14ac:dyDescent="0.25">
      <c r="A114" s="3">
        <v>113</v>
      </c>
      <c r="B114" s="3" t="s">
        <v>166</v>
      </c>
      <c r="C114" s="3" t="s">
        <v>46</v>
      </c>
      <c r="D114" s="5" t="s">
        <v>169</v>
      </c>
      <c r="E114" s="6"/>
      <c r="F114" s="6"/>
      <c r="G114" s="6"/>
      <c r="H114" s="6"/>
      <c r="I114" s="6"/>
      <c r="J114" s="3" t="str">
        <f t="shared" si="6"/>
        <v/>
      </c>
      <c r="K114" s="3" t="str">
        <f t="shared" si="7"/>
        <v/>
      </c>
      <c r="L114" s="5"/>
    </row>
    <row r="115" spans="1:12" ht="75" x14ac:dyDescent="0.25">
      <c r="A115" s="3">
        <v>114</v>
      </c>
      <c r="B115" s="3" t="s">
        <v>166</v>
      </c>
      <c r="C115" s="3" t="s">
        <v>46</v>
      </c>
      <c r="D115" s="5" t="s">
        <v>170</v>
      </c>
      <c r="E115" s="6"/>
      <c r="F115" s="6"/>
      <c r="G115" s="6"/>
      <c r="H115" s="6"/>
      <c r="I115" s="6"/>
      <c r="J115" s="3" t="str">
        <f t="shared" si="6"/>
        <v/>
      </c>
      <c r="K115" s="3" t="str">
        <f t="shared" si="7"/>
        <v/>
      </c>
      <c r="L115" s="5"/>
    </row>
    <row r="116" spans="1:12" ht="75" x14ac:dyDescent="0.25">
      <c r="A116" s="3">
        <v>115</v>
      </c>
      <c r="B116" s="3" t="s">
        <v>166</v>
      </c>
      <c r="C116" s="3" t="s">
        <v>46</v>
      </c>
      <c r="D116" s="5" t="s">
        <v>171</v>
      </c>
      <c r="E116" s="6"/>
      <c r="F116" s="6"/>
      <c r="G116" s="6"/>
      <c r="H116" s="6"/>
      <c r="I116" s="6"/>
      <c r="J116" s="3" t="str">
        <f t="shared" si="6"/>
        <v/>
      </c>
      <c r="K116" s="3" t="str">
        <f t="shared" si="7"/>
        <v/>
      </c>
      <c r="L116" s="5"/>
    </row>
    <row r="117" spans="1:12" ht="75" x14ac:dyDescent="0.25">
      <c r="A117" s="3">
        <v>116</v>
      </c>
      <c r="B117" s="3" t="s">
        <v>166</v>
      </c>
      <c r="C117" s="3" t="s">
        <v>46</v>
      </c>
      <c r="D117" s="5" t="s">
        <v>172</v>
      </c>
      <c r="E117" s="6"/>
      <c r="F117" s="6"/>
      <c r="G117" s="6"/>
      <c r="H117" s="6"/>
      <c r="I117" s="6"/>
      <c r="J117" s="3" t="str">
        <f t="shared" si="6"/>
        <v/>
      </c>
      <c r="K117" s="3" t="str">
        <f t="shared" si="7"/>
        <v/>
      </c>
      <c r="L117" s="5"/>
    </row>
    <row r="118" spans="1:12" ht="75" x14ac:dyDescent="0.25">
      <c r="A118" s="3">
        <v>117</v>
      </c>
      <c r="B118" s="3" t="s">
        <v>166</v>
      </c>
      <c r="C118" s="3" t="s">
        <v>46</v>
      </c>
      <c r="D118" s="5" t="s">
        <v>173</v>
      </c>
      <c r="E118" s="6"/>
      <c r="F118" s="6"/>
      <c r="G118" s="6"/>
      <c r="H118" s="6"/>
      <c r="I118" s="6"/>
      <c r="J118" s="3" t="str">
        <f t="shared" si="6"/>
        <v/>
      </c>
      <c r="K118" s="3" t="str">
        <f t="shared" si="7"/>
        <v/>
      </c>
      <c r="L118" s="5"/>
    </row>
    <row r="119" spans="1:12" ht="75" x14ac:dyDescent="0.25">
      <c r="A119" s="3">
        <v>118</v>
      </c>
      <c r="B119" s="3" t="s">
        <v>166</v>
      </c>
      <c r="C119" s="3" t="s">
        <v>46</v>
      </c>
      <c r="D119" s="5" t="s">
        <v>174</v>
      </c>
      <c r="E119" s="6"/>
      <c r="F119" s="6"/>
      <c r="G119" s="6"/>
      <c r="H119" s="6"/>
      <c r="I119" s="6"/>
      <c r="J119" s="3" t="str">
        <f t="shared" si="6"/>
        <v/>
      </c>
      <c r="K119" s="3" t="str">
        <f t="shared" si="7"/>
        <v/>
      </c>
      <c r="L119" s="5"/>
    </row>
    <row r="120" spans="1:12" ht="75" x14ac:dyDescent="0.25">
      <c r="A120" s="3">
        <v>119</v>
      </c>
      <c r="B120" s="3" t="s">
        <v>166</v>
      </c>
      <c r="C120" s="3" t="s">
        <v>46</v>
      </c>
      <c r="D120" s="5" t="s">
        <v>175</v>
      </c>
      <c r="E120" s="6"/>
      <c r="F120" s="6"/>
      <c r="G120" s="6"/>
      <c r="H120" s="6"/>
      <c r="I120" s="6"/>
      <c r="J120" s="3" t="str">
        <f t="shared" si="6"/>
        <v/>
      </c>
      <c r="K120" s="3" t="str">
        <f t="shared" si="7"/>
        <v/>
      </c>
      <c r="L120" s="5"/>
    </row>
    <row r="121" spans="1:12" ht="75" x14ac:dyDescent="0.25">
      <c r="A121" s="3">
        <v>120</v>
      </c>
      <c r="B121" s="3" t="s">
        <v>166</v>
      </c>
      <c r="C121" s="3" t="s">
        <v>46</v>
      </c>
      <c r="D121" s="5" t="s">
        <v>176</v>
      </c>
      <c r="E121" s="6"/>
      <c r="F121" s="6"/>
      <c r="G121" s="6"/>
      <c r="H121" s="6"/>
      <c r="I121" s="6"/>
      <c r="J121" s="3" t="str">
        <f t="shared" si="6"/>
        <v/>
      </c>
      <c r="K121" s="3" t="str">
        <f t="shared" si="7"/>
        <v/>
      </c>
      <c r="L121"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2"/>
  <sheetViews>
    <sheetView showGridLines="0" workbookViewId="0">
      <pane ySplit="1" topLeftCell="A2" activePane="bottomLeft" state="frozen"/>
      <selection pane="bottomLeft"/>
    </sheetView>
  </sheetViews>
  <sheetFormatPr defaultRowHeight="15" x14ac:dyDescent="0.25"/>
  <cols>
    <col min="1" max="1" width="6" customWidth="1"/>
    <col min="2" max="2" width="20" customWidth="1"/>
    <col min="3" max="3" width="30" customWidth="1"/>
    <col min="4" max="4" width="70" customWidth="1"/>
    <col min="5" max="5" width="11" customWidth="1"/>
    <col min="6" max="8" width="10" customWidth="1"/>
    <col min="9" max="10" width="9" customWidth="1"/>
    <col min="11" max="11" width="8" customWidth="1"/>
    <col min="12" max="12" width="14" customWidth="1"/>
  </cols>
  <sheetData>
    <row r="1" spans="1:12" x14ac:dyDescent="0.25">
      <c r="A1" s="2" t="s">
        <v>33</v>
      </c>
      <c r="B1" s="2" t="s">
        <v>34</v>
      </c>
      <c r="C1" s="2" t="s">
        <v>35</v>
      </c>
      <c r="D1" s="2" t="s">
        <v>36</v>
      </c>
      <c r="E1" s="2" t="s">
        <v>37</v>
      </c>
      <c r="F1" s="2" t="s">
        <v>38</v>
      </c>
      <c r="G1" s="2" t="s">
        <v>39</v>
      </c>
      <c r="H1" s="2" t="s">
        <v>40</v>
      </c>
      <c r="I1" s="2" t="s">
        <v>41</v>
      </c>
      <c r="J1" s="2" t="s">
        <v>42</v>
      </c>
      <c r="K1" s="2" t="s">
        <v>43</v>
      </c>
      <c r="L1" s="2" t="s">
        <v>44</v>
      </c>
    </row>
    <row r="2" spans="1:12" ht="90" x14ac:dyDescent="0.25">
      <c r="A2" s="3">
        <v>1</v>
      </c>
      <c r="B2" s="3" t="s">
        <v>45</v>
      </c>
      <c r="C2" s="3" t="s">
        <v>177</v>
      </c>
      <c r="D2" s="5" t="s">
        <v>178</v>
      </c>
      <c r="E2" s="6"/>
      <c r="F2" s="6"/>
      <c r="G2" s="6"/>
      <c r="H2" s="6"/>
      <c r="I2" s="6"/>
      <c r="J2" s="3" t="str">
        <f t="shared" ref="J2:J33" si="0">IF(COUNT(E2:I2)=5,AVERAGE(E2:I2),"")</f>
        <v/>
      </c>
      <c r="K2" s="3" t="str">
        <f t="shared" ref="K2:K33" si="1">IF(J2="","",IF(J2&gt;=4,"Đạt","Không"))</f>
        <v/>
      </c>
      <c r="L2" s="5"/>
    </row>
    <row r="3" spans="1:12" ht="90" x14ac:dyDescent="0.25">
      <c r="A3" s="3">
        <v>2</v>
      </c>
      <c r="B3" s="3" t="s">
        <v>45</v>
      </c>
      <c r="C3" s="3" t="s">
        <v>177</v>
      </c>
      <c r="D3" s="5" t="s">
        <v>179</v>
      </c>
      <c r="E3" s="6"/>
      <c r="F3" s="6"/>
      <c r="G3" s="6"/>
      <c r="H3" s="6"/>
      <c r="I3" s="6"/>
      <c r="J3" s="3" t="str">
        <f t="shared" si="0"/>
        <v/>
      </c>
      <c r="K3" s="3" t="str">
        <f t="shared" si="1"/>
        <v/>
      </c>
      <c r="L3" s="5"/>
    </row>
    <row r="4" spans="1:12" ht="90" x14ac:dyDescent="0.25">
      <c r="A4" s="3">
        <v>3</v>
      </c>
      <c r="B4" s="3" t="s">
        <v>45</v>
      </c>
      <c r="C4" s="3" t="s">
        <v>180</v>
      </c>
      <c r="D4" s="5" t="s">
        <v>181</v>
      </c>
      <c r="E4" s="6"/>
      <c r="F4" s="6"/>
      <c r="G4" s="6"/>
      <c r="H4" s="6"/>
      <c r="I4" s="6"/>
      <c r="J4" s="3" t="str">
        <f t="shared" si="0"/>
        <v/>
      </c>
      <c r="K4" s="3" t="str">
        <f t="shared" si="1"/>
        <v/>
      </c>
      <c r="L4" s="5"/>
    </row>
    <row r="5" spans="1:12" ht="90" x14ac:dyDescent="0.25">
      <c r="A5" s="3">
        <v>4</v>
      </c>
      <c r="B5" s="3" t="s">
        <v>45</v>
      </c>
      <c r="C5" s="3" t="s">
        <v>182</v>
      </c>
      <c r="D5" s="5" t="s">
        <v>183</v>
      </c>
      <c r="E5" s="6"/>
      <c r="F5" s="6"/>
      <c r="G5" s="6"/>
      <c r="H5" s="6"/>
      <c r="I5" s="6"/>
      <c r="J5" s="3" t="str">
        <f t="shared" si="0"/>
        <v/>
      </c>
      <c r="K5" s="3" t="str">
        <f t="shared" si="1"/>
        <v/>
      </c>
      <c r="L5" s="5"/>
    </row>
    <row r="6" spans="1:12" ht="90" x14ac:dyDescent="0.25">
      <c r="A6" s="3">
        <v>5</v>
      </c>
      <c r="B6" s="3" t="s">
        <v>45</v>
      </c>
      <c r="C6" s="3" t="s">
        <v>184</v>
      </c>
      <c r="D6" s="5" t="s">
        <v>185</v>
      </c>
      <c r="E6" s="6"/>
      <c r="F6" s="6"/>
      <c r="G6" s="6"/>
      <c r="H6" s="6"/>
      <c r="I6" s="6"/>
      <c r="J6" s="3" t="str">
        <f t="shared" si="0"/>
        <v/>
      </c>
      <c r="K6" s="3" t="str">
        <f t="shared" si="1"/>
        <v/>
      </c>
      <c r="L6" s="5"/>
    </row>
    <row r="7" spans="1:12" ht="105" x14ac:dyDescent="0.25">
      <c r="A7" s="3">
        <v>6</v>
      </c>
      <c r="B7" s="3" t="s">
        <v>45</v>
      </c>
      <c r="C7" s="3" t="s">
        <v>184</v>
      </c>
      <c r="D7" s="5" t="s">
        <v>186</v>
      </c>
      <c r="E7" s="6"/>
      <c r="F7" s="6"/>
      <c r="G7" s="6"/>
      <c r="H7" s="6"/>
      <c r="I7" s="6"/>
      <c r="J7" s="3" t="str">
        <f t="shared" si="0"/>
        <v/>
      </c>
      <c r="K7" s="3" t="str">
        <f t="shared" si="1"/>
        <v/>
      </c>
      <c r="L7" s="5"/>
    </row>
    <row r="8" spans="1:12" ht="90" x14ac:dyDescent="0.25">
      <c r="A8" s="3">
        <v>7</v>
      </c>
      <c r="B8" s="3" t="s">
        <v>45</v>
      </c>
      <c r="C8" s="3" t="s">
        <v>187</v>
      </c>
      <c r="D8" s="5" t="s">
        <v>188</v>
      </c>
      <c r="E8" s="6"/>
      <c r="F8" s="6"/>
      <c r="G8" s="6"/>
      <c r="H8" s="6"/>
      <c r="I8" s="6"/>
      <c r="J8" s="3" t="str">
        <f t="shared" si="0"/>
        <v/>
      </c>
      <c r="K8" s="3" t="str">
        <f t="shared" si="1"/>
        <v/>
      </c>
      <c r="L8" s="5"/>
    </row>
    <row r="9" spans="1:12" ht="90" x14ac:dyDescent="0.25">
      <c r="A9" s="3">
        <v>8</v>
      </c>
      <c r="B9" s="3" t="s">
        <v>45</v>
      </c>
      <c r="C9" s="3" t="s">
        <v>189</v>
      </c>
      <c r="D9" s="5" t="s">
        <v>190</v>
      </c>
      <c r="E9" s="6"/>
      <c r="F9" s="6"/>
      <c r="G9" s="6"/>
      <c r="H9" s="6"/>
      <c r="I9" s="6"/>
      <c r="J9" s="3" t="str">
        <f t="shared" si="0"/>
        <v/>
      </c>
      <c r="K9" s="3" t="str">
        <f t="shared" si="1"/>
        <v/>
      </c>
      <c r="L9" s="5"/>
    </row>
    <row r="10" spans="1:12" ht="90" x14ac:dyDescent="0.25">
      <c r="A10" s="3">
        <v>9</v>
      </c>
      <c r="B10" s="3" t="s">
        <v>45</v>
      </c>
      <c r="C10" s="3" t="s">
        <v>191</v>
      </c>
      <c r="D10" s="5" t="s">
        <v>192</v>
      </c>
      <c r="E10" s="6"/>
      <c r="F10" s="6"/>
      <c r="G10" s="6"/>
      <c r="H10" s="6"/>
      <c r="I10" s="6"/>
      <c r="J10" s="3" t="str">
        <f t="shared" si="0"/>
        <v/>
      </c>
      <c r="K10" s="3" t="str">
        <f t="shared" si="1"/>
        <v/>
      </c>
      <c r="L10" s="5"/>
    </row>
    <row r="11" spans="1:12" ht="90" x14ac:dyDescent="0.25">
      <c r="A11" s="3">
        <v>10</v>
      </c>
      <c r="B11" s="3" t="s">
        <v>45</v>
      </c>
      <c r="C11" s="3" t="s">
        <v>193</v>
      </c>
      <c r="D11" s="5" t="s">
        <v>194</v>
      </c>
      <c r="E11" s="6"/>
      <c r="F11" s="6"/>
      <c r="G11" s="6"/>
      <c r="H11" s="6"/>
      <c r="I11" s="6"/>
      <c r="J11" s="3" t="str">
        <f t="shared" si="0"/>
        <v/>
      </c>
      <c r="K11" s="3" t="str">
        <f t="shared" si="1"/>
        <v/>
      </c>
      <c r="L11" s="5"/>
    </row>
    <row r="12" spans="1:12" ht="90" x14ac:dyDescent="0.25">
      <c r="A12" s="3">
        <v>11</v>
      </c>
      <c r="B12" s="3" t="s">
        <v>56</v>
      </c>
      <c r="C12" s="3" t="s">
        <v>195</v>
      </c>
      <c r="D12" s="5" t="s">
        <v>196</v>
      </c>
      <c r="E12" s="6"/>
      <c r="F12" s="6"/>
      <c r="G12" s="6"/>
      <c r="H12" s="6"/>
      <c r="I12" s="6"/>
      <c r="J12" s="3" t="str">
        <f t="shared" si="0"/>
        <v/>
      </c>
      <c r="K12" s="3" t="str">
        <f t="shared" si="1"/>
        <v/>
      </c>
      <c r="L12" s="5"/>
    </row>
    <row r="13" spans="1:12" ht="90" x14ac:dyDescent="0.25">
      <c r="A13" s="3">
        <v>12</v>
      </c>
      <c r="B13" s="3" t="s">
        <v>56</v>
      </c>
      <c r="C13" s="3" t="s">
        <v>195</v>
      </c>
      <c r="D13" s="5" t="s">
        <v>197</v>
      </c>
      <c r="E13" s="6"/>
      <c r="F13" s="6"/>
      <c r="G13" s="6"/>
      <c r="H13" s="6"/>
      <c r="I13" s="6"/>
      <c r="J13" s="3" t="str">
        <f t="shared" si="0"/>
        <v/>
      </c>
      <c r="K13" s="3" t="str">
        <f t="shared" si="1"/>
        <v/>
      </c>
      <c r="L13" s="5"/>
    </row>
    <row r="14" spans="1:12" ht="90" x14ac:dyDescent="0.25">
      <c r="A14" s="3">
        <v>13</v>
      </c>
      <c r="B14" s="3" t="s">
        <v>56</v>
      </c>
      <c r="C14" s="3" t="s">
        <v>198</v>
      </c>
      <c r="D14" s="5" t="s">
        <v>199</v>
      </c>
      <c r="E14" s="6"/>
      <c r="F14" s="6"/>
      <c r="G14" s="6"/>
      <c r="H14" s="6"/>
      <c r="I14" s="6"/>
      <c r="J14" s="3" t="str">
        <f t="shared" si="0"/>
        <v/>
      </c>
      <c r="K14" s="3" t="str">
        <f t="shared" si="1"/>
        <v/>
      </c>
      <c r="L14" s="5"/>
    </row>
    <row r="15" spans="1:12" ht="90" x14ac:dyDescent="0.25">
      <c r="A15" s="3">
        <v>14</v>
      </c>
      <c r="B15" s="3" t="s">
        <v>56</v>
      </c>
      <c r="C15" s="3" t="s">
        <v>200</v>
      </c>
      <c r="D15" s="5" t="s">
        <v>201</v>
      </c>
      <c r="E15" s="6"/>
      <c r="F15" s="6"/>
      <c r="G15" s="6"/>
      <c r="H15" s="6"/>
      <c r="I15" s="6"/>
      <c r="J15" s="3" t="str">
        <f t="shared" si="0"/>
        <v/>
      </c>
      <c r="K15" s="3" t="str">
        <f t="shared" si="1"/>
        <v/>
      </c>
      <c r="L15" s="5"/>
    </row>
    <row r="16" spans="1:12" ht="90" x14ac:dyDescent="0.25">
      <c r="A16" s="3">
        <v>15</v>
      </c>
      <c r="B16" s="3" t="s">
        <v>56</v>
      </c>
      <c r="C16" s="3" t="s">
        <v>200</v>
      </c>
      <c r="D16" s="5" t="s">
        <v>202</v>
      </c>
      <c r="E16" s="6"/>
      <c r="F16" s="6"/>
      <c r="G16" s="6"/>
      <c r="H16" s="6"/>
      <c r="I16" s="6"/>
      <c r="J16" s="3" t="str">
        <f t="shared" si="0"/>
        <v/>
      </c>
      <c r="K16" s="3" t="str">
        <f t="shared" si="1"/>
        <v/>
      </c>
      <c r="L16" s="5"/>
    </row>
    <row r="17" spans="1:12" ht="90" x14ac:dyDescent="0.25">
      <c r="A17" s="3">
        <v>16</v>
      </c>
      <c r="B17" s="3" t="s">
        <v>56</v>
      </c>
      <c r="C17" s="3" t="s">
        <v>200</v>
      </c>
      <c r="D17" s="5" t="s">
        <v>203</v>
      </c>
      <c r="E17" s="6"/>
      <c r="F17" s="6"/>
      <c r="G17" s="6"/>
      <c r="H17" s="6"/>
      <c r="I17" s="6"/>
      <c r="J17" s="3" t="str">
        <f t="shared" si="0"/>
        <v/>
      </c>
      <c r="K17" s="3" t="str">
        <f t="shared" si="1"/>
        <v/>
      </c>
      <c r="L17" s="5"/>
    </row>
    <row r="18" spans="1:12" ht="90" x14ac:dyDescent="0.25">
      <c r="A18" s="3">
        <v>17</v>
      </c>
      <c r="B18" s="3" t="s">
        <v>56</v>
      </c>
      <c r="C18" s="3" t="s">
        <v>204</v>
      </c>
      <c r="D18" s="5" t="s">
        <v>205</v>
      </c>
      <c r="E18" s="6"/>
      <c r="F18" s="6"/>
      <c r="G18" s="6"/>
      <c r="H18" s="6"/>
      <c r="I18" s="6"/>
      <c r="J18" s="3" t="str">
        <f t="shared" si="0"/>
        <v/>
      </c>
      <c r="K18" s="3" t="str">
        <f t="shared" si="1"/>
        <v/>
      </c>
      <c r="L18" s="5"/>
    </row>
    <row r="19" spans="1:12" ht="105" x14ac:dyDescent="0.25">
      <c r="A19" s="3">
        <v>18</v>
      </c>
      <c r="B19" s="3" t="s">
        <v>56</v>
      </c>
      <c r="C19" s="3" t="s">
        <v>204</v>
      </c>
      <c r="D19" s="5" t="s">
        <v>206</v>
      </c>
      <c r="E19" s="6"/>
      <c r="F19" s="6"/>
      <c r="G19" s="6"/>
      <c r="H19" s="6"/>
      <c r="I19" s="6"/>
      <c r="J19" s="3" t="str">
        <f t="shared" si="0"/>
        <v/>
      </c>
      <c r="K19" s="3" t="str">
        <f t="shared" si="1"/>
        <v/>
      </c>
      <c r="L19" s="5"/>
    </row>
    <row r="20" spans="1:12" ht="120" x14ac:dyDescent="0.25">
      <c r="A20" s="3">
        <v>19</v>
      </c>
      <c r="B20" s="3" t="s">
        <v>56</v>
      </c>
      <c r="C20" s="3" t="s">
        <v>207</v>
      </c>
      <c r="D20" s="5" t="s">
        <v>208</v>
      </c>
      <c r="E20" s="6"/>
      <c r="F20" s="6"/>
      <c r="G20" s="6"/>
      <c r="H20" s="6"/>
      <c r="I20" s="6"/>
      <c r="J20" s="3" t="str">
        <f t="shared" si="0"/>
        <v/>
      </c>
      <c r="K20" s="3" t="str">
        <f t="shared" si="1"/>
        <v/>
      </c>
      <c r="L20" s="5"/>
    </row>
    <row r="21" spans="1:12" ht="90" x14ac:dyDescent="0.25">
      <c r="A21" s="3">
        <v>20</v>
      </c>
      <c r="B21" s="3" t="s">
        <v>56</v>
      </c>
      <c r="C21" s="3" t="s">
        <v>209</v>
      </c>
      <c r="D21" s="5" t="s">
        <v>210</v>
      </c>
      <c r="E21" s="6"/>
      <c r="F21" s="6"/>
      <c r="G21" s="6"/>
      <c r="H21" s="6"/>
      <c r="I21" s="6"/>
      <c r="J21" s="3" t="str">
        <f t="shared" si="0"/>
        <v/>
      </c>
      <c r="K21" s="3" t="str">
        <f t="shared" si="1"/>
        <v/>
      </c>
      <c r="L21" s="5"/>
    </row>
    <row r="22" spans="1:12" ht="90" x14ac:dyDescent="0.25">
      <c r="A22" s="3">
        <v>21</v>
      </c>
      <c r="B22" s="3" t="s">
        <v>67</v>
      </c>
      <c r="C22" s="3" t="s">
        <v>211</v>
      </c>
      <c r="D22" s="5" t="s">
        <v>212</v>
      </c>
      <c r="E22" s="6"/>
      <c r="F22" s="6"/>
      <c r="G22" s="6"/>
      <c r="H22" s="6"/>
      <c r="I22" s="6"/>
      <c r="J22" s="3" t="str">
        <f t="shared" si="0"/>
        <v/>
      </c>
      <c r="K22" s="3" t="str">
        <f t="shared" si="1"/>
        <v/>
      </c>
      <c r="L22" s="5"/>
    </row>
    <row r="23" spans="1:12" ht="90" x14ac:dyDescent="0.25">
      <c r="A23" s="3">
        <v>22</v>
      </c>
      <c r="B23" s="3" t="s">
        <v>67</v>
      </c>
      <c r="C23" s="3" t="s">
        <v>211</v>
      </c>
      <c r="D23" s="5" t="s">
        <v>213</v>
      </c>
      <c r="E23" s="6"/>
      <c r="F23" s="6"/>
      <c r="G23" s="6"/>
      <c r="H23" s="6"/>
      <c r="I23" s="6"/>
      <c r="J23" s="3" t="str">
        <f t="shared" si="0"/>
        <v/>
      </c>
      <c r="K23" s="3" t="str">
        <f t="shared" si="1"/>
        <v/>
      </c>
      <c r="L23" s="5"/>
    </row>
    <row r="24" spans="1:12" ht="105" x14ac:dyDescent="0.25">
      <c r="A24" s="3">
        <v>23</v>
      </c>
      <c r="B24" s="3" t="s">
        <v>67</v>
      </c>
      <c r="C24" s="3" t="s">
        <v>214</v>
      </c>
      <c r="D24" s="5" t="s">
        <v>215</v>
      </c>
      <c r="E24" s="6"/>
      <c r="F24" s="6"/>
      <c r="G24" s="6"/>
      <c r="H24" s="6"/>
      <c r="I24" s="6"/>
      <c r="J24" s="3" t="str">
        <f t="shared" si="0"/>
        <v/>
      </c>
      <c r="K24" s="3" t="str">
        <f t="shared" si="1"/>
        <v/>
      </c>
      <c r="L24" s="5"/>
    </row>
    <row r="25" spans="1:12" ht="90" x14ac:dyDescent="0.25">
      <c r="A25" s="3">
        <v>24</v>
      </c>
      <c r="B25" s="3" t="s">
        <v>67</v>
      </c>
      <c r="C25" s="3" t="s">
        <v>216</v>
      </c>
      <c r="D25" s="5" t="s">
        <v>217</v>
      </c>
      <c r="E25" s="6"/>
      <c r="F25" s="6"/>
      <c r="G25" s="6"/>
      <c r="H25" s="6"/>
      <c r="I25" s="6"/>
      <c r="J25" s="3" t="str">
        <f t="shared" si="0"/>
        <v/>
      </c>
      <c r="K25" s="3" t="str">
        <f t="shared" si="1"/>
        <v/>
      </c>
      <c r="L25" s="5"/>
    </row>
    <row r="26" spans="1:12" ht="90" x14ac:dyDescent="0.25">
      <c r="A26" s="3">
        <v>25</v>
      </c>
      <c r="B26" s="3" t="s">
        <v>67</v>
      </c>
      <c r="C26" s="3" t="s">
        <v>218</v>
      </c>
      <c r="D26" s="5" t="s">
        <v>219</v>
      </c>
      <c r="E26" s="6"/>
      <c r="F26" s="6"/>
      <c r="G26" s="6"/>
      <c r="H26" s="6"/>
      <c r="I26" s="6"/>
      <c r="J26" s="3" t="str">
        <f t="shared" si="0"/>
        <v/>
      </c>
      <c r="K26" s="3" t="str">
        <f t="shared" si="1"/>
        <v/>
      </c>
      <c r="L26" s="5"/>
    </row>
    <row r="27" spans="1:12" ht="90" x14ac:dyDescent="0.25">
      <c r="A27" s="3">
        <v>26</v>
      </c>
      <c r="B27" s="3" t="s">
        <v>67</v>
      </c>
      <c r="C27" s="3" t="s">
        <v>218</v>
      </c>
      <c r="D27" s="5" t="s">
        <v>220</v>
      </c>
      <c r="E27" s="6"/>
      <c r="F27" s="6"/>
      <c r="G27" s="6"/>
      <c r="H27" s="6"/>
      <c r="I27" s="6"/>
      <c r="J27" s="3" t="str">
        <f t="shared" si="0"/>
        <v/>
      </c>
      <c r="K27" s="3" t="str">
        <f t="shared" si="1"/>
        <v/>
      </c>
      <c r="L27" s="5"/>
    </row>
    <row r="28" spans="1:12" ht="90" x14ac:dyDescent="0.25">
      <c r="A28" s="3">
        <v>27</v>
      </c>
      <c r="B28" s="3" t="s">
        <v>67</v>
      </c>
      <c r="C28" s="3" t="s">
        <v>221</v>
      </c>
      <c r="D28" s="5" t="s">
        <v>222</v>
      </c>
      <c r="E28" s="6"/>
      <c r="F28" s="6"/>
      <c r="G28" s="6"/>
      <c r="H28" s="6"/>
      <c r="I28" s="6"/>
      <c r="J28" s="3" t="str">
        <f t="shared" si="0"/>
        <v/>
      </c>
      <c r="K28" s="3" t="str">
        <f t="shared" si="1"/>
        <v/>
      </c>
      <c r="L28" s="5"/>
    </row>
    <row r="29" spans="1:12" ht="75" x14ac:dyDescent="0.25">
      <c r="A29" s="3">
        <v>28</v>
      </c>
      <c r="B29" s="3" t="s">
        <v>67</v>
      </c>
      <c r="C29" s="3" t="s">
        <v>223</v>
      </c>
      <c r="D29" s="5" t="s">
        <v>224</v>
      </c>
      <c r="E29" s="6"/>
      <c r="F29" s="6"/>
      <c r="G29" s="6"/>
      <c r="H29" s="6"/>
      <c r="I29" s="6"/>
      <c r="J29" s="3" t="str">
        <f t="shared" si="0"/>
        <v/>
      </c>
      <c r="K29" s="3" t="str">
        <f t="shared" si="1"/>
        <v/>
      </c>
      <c r="L29" s="5"/>
    </row>
    <row r="30" spans="1:12" ht="90" x14ac:dyDescent="0.25">
      <c r="A30" s="3">
        <v>29</v>
      </c>
      <c r="B30" s="3" t="s">
        <v>67</v>
      </c>
      <c r="C30" s="3" t="s">
        <v>225</v>
      </c>
      <c r="D30" s="5" t="s">
        <v>226</v>
      </c>
      <c r="E30" s="6"/>
      <c r="F30" s="6"/>
      <c r="G30" s="6"/>
      <c r="H30" s="6"/>
      <c r="I30" s="6"/>
      <c r="J30" s="3" t="str">
        <f t="shared" si="0"/>
        <v/>
      </c>
      <c r="K30" s="3" t="str">
        <f t="shared" si="1"/>
        <v/>
      </c>
      <c r="L30" s="5"/>
    </row>
    <row r="31" spans="1:12" ht="105" x14ac:dyDescent="0.25">
      <c r="A31" s="3">
        <v>30</v>
      </c>
      <c r="B31" s="3" t="s">
        <v>67</v>
      </c>
      <c r="C31" s="3" t="s">
        <v>225</v>
      </c>
      <c r="D31" s="5" t="s">
        <v>227</v>
      </c>
      <c r="E31" s="6"/>
      <c r="F31" s="6"/>
      <c r="G31" s="6"/>
      <c r="H31" s="6"/>
      <c r="I31" s="6"/>
      <c r="J31" s="3" t="str">
        <f t="shared" si="0"/>
        <v/>
      </c>
      <c r="K31" s="3" t="str">
        <f t="shared" si="1"/>
        <v/>
      </c>
      <c r="L31" s="5"/>
    </row>
    <row r="32" spans="1:12" ht="90" x14ac:dyDescent="0.25">
      <c r="A32" s="3">
        <v>31</v>
      </c>
      <c r="B32" s="3" t="s">
        <v>78</v>
      </c>
      <c r="C32" s="3" t="s">
        <v>228</v>
      </c>
      <c r="D32" s="5" t="s">
        <v>229</v>
      </c>
      <c r="E32" s="6"/>
      <c r="F32" s="6"/>
      <c r="G32" s="6"/>
      <c r="H32" s="6"/>
      <c r="I32" s="6"/>
      <c r="J32" s="3" t="str">
        <f t="shared" si="0"/>
        <v/>
      </c>
      <c r="K32" s="3" t="str">
        <f t="shared" si="1"/>
        <v/>
      </c>
      <c r="L32" s="5"/>
    </row>
    <row r="33" spans="1:12" ht="90" x14ac:dyDescent="0.25">
      <c r="A33" s="3">
        <v>32</v>
      </c>
      <c r="B33" s="3" t="s">
        <v>78</v>
      </c>
      <c r="C33" s="3" t="s">
        <v>228</v>
      </c>
      <c r="D33" s="5" t="s">
        <v>230</v>
      </c>
      <c r="E33" s="6"/>
      <c r="F33" s="6"/>
      <c r="G33" s="6"/>
      <c r="H33" s="6"/>
      <c r="I33" s="6"/>
      <c r="J33" s="3" t="str">
        <f t="shared" si="0"/>
        <v/>
      </c>
      <c r="K33" s="3" t="str">
        <f t="shared" si="1"/>
        <v/>
      </c>
      <c r="L33" s="5"/>
    </row>
    <row r="34" spans="1:12" ht="75" x14ac:dyDescent="0.25">
      <c r="A34" s="3">
        <v>33</v>
      </c>
      <c r="B34" s="3" t="s">
        <v>78</v>
      </c>
      <c r="C34" s="3" t="s">
        <v>228</v>
      </c>
      <c r="D34" s="5" t="s">
        <v>231</v>
      </c>
      <c r="E34" s="6"/>
      <c r="F34" s="6"/>
      <c r="G34" s="6"/>
      <c r="H34" s="6"/>
      <c r="I34" s="6"/>
      <c r="J34" s="3" t="str">
        <f t="shared" ref="J34:J65" si="2">IF(COUNT(E34:I34)=5,AVERAGE(E34:I34),"")</f>
        <v/>
      </c>
      <c r="K34" s="3" t="str">
        <f t="shared" ref="K34:K65" si="3">IF(J34="","",IF(J34&gt;=4,"Đạt","Không"))</f>
        <v/>
      </c>
      <c r="L34" s="5"/>
    </row>
    <row r="35" spans="1:12" ht="90" x14ac:dyDescent="0.25">
      <c r="A35" s="3">
        <v>34</v>
      </c>
      <c r="B35" s="3" t="s">
        <v>78</v>
      </c>
      <c r="C35" s="3" t="s">
        <v>232</v>
      </c>
      <c r="D35" s="5" t="s">
        <v>233</v>
      </c>
      <c r="E35" s="6"/>
      <c r="F35" s="6"/>
      <c r="G35" s="6"/>
      <c r="H35" s="6"/>
      <c r="I35" s="6"/>
      <c r="J35" s="3" t="str">
        <f t="shared" si="2"/>
        <v/>
      </c>
      <c r="K35" s="3" t="str">
        <f t="shared" si="3"/>
        <v/>
      </c>
      <c r="L35" s="5"/>
    </row>
    <row r="36" spans="1:12" ht="90" x14ac:dyDescent="0.25">
      <c r="A36" s="3">
        <v>35</v>
      </c>
      <c r="B36" s="3" t="s">
        <v>78</v>
      </c>
      <c r="C36" s="3" t="s">
        <v>232</v>
      </c>
      <c r="D36" s="5" t="s">
        <v>234</v>
      </c>
      <c r="E36" s="6"/>
      <c r="F36" s="6"/>
      <c r="G36" s="6"/>
      <c r="H36" s="6"/>
      <c r="I36" s="6"/>
      <c r="J36" s="3" t="str">
        <f t="shared" si="2"/>
        <v/>
      </c>
      <c r="K36" s="3" t="str">
        <f t="shared" si="3"/>
        <v/>
      </c>
      <c r="L36" s="5"/>
    </row>
    <row r="37" spans="1:12" ht="120" x14ac:dyDescent="0.25">
      <c r="A37" s="3">
        <v>36</v>
      </c>
      <c r="B37" s="3" t="s">
        <v>78</v>
      </c>
      <c r="C37" s="3" t="s">
        <v>235</v>
      </c>
      <c r="D37" s="5" t="s">
        <v>236</v>
      </c>
      <c r="E37" s="6"/>
      <c r="F37" s="6"/>
      <c r="G37" s="6"/>
      <c r="H37" s="6"/>
      <c r="I37" s="6"/>
      <c r="J37" s="3" t="str">
        <f t="shared" si="2"/>
        <v/>
      </c>
      <c r="K37" s="3" t="str">
        <f t="shared" si="3"/>
        <v/>
      </c>
      <c r="L37" s="5"/>
    </row>
    <row r="38" spans="1:12" ht="75" x14ac:dyDescent="0.25">
      <c r="A38" s="3">
        <v>37</v>
      </c>
      <c r="B38" s="3" t="s">
        <v>78</v>
      </c>
      <c r="C38" s="3" t="s">
        <v>237</v>
      </c>
      <c r="D38" s="5" t="s">
        <v>238</v>
      </c>
      <c r="E38" s="6"/>
      <c r="F38" s="6"/>
      <c r="G38" s="6"/>
      <c r="H38" s="6"/>
      <c r="I38" s="6"/>
      <c r="J38" s="3" t="str">
        <f t="shared" si="2"/>
        <v/>
      </c>
      <c r="K38" s="3" t="str">
        <f t="shared" si="3"/>
        <v/>
      </c>
      <c r="L38" s="5"/>
    </row>
    <row r="39" spans="1:12" ht="75" x14ac:dyDescent="0.25">
      <c r="A39" s="3">
        <v>38</v>
      </c>
      <c r="B39" s="3" t="s">
        <v>78</v>
      </c>
      <c r="C39" s="3" t="s">
        <v>237</v>
      </c>
      <c r="D39" s="5" t="s">
        <v>239</v>
      </c>
      <c r="E39" s="6"/>
      <c r="F39" s="6"/>
      <c r="G39" s="6"/>
      <c r="H39" s="6"/>
      <c r="I39" s="6"/>
      <c r="J39" s="3" t="str">
        <f t="shared" si="2"/>
        <v/>
      </c>
      <c r="K39" s="3" t="str">
        <f t="shared" si="3"/>
        <v/>
      </c>
      <c r="L39" s="5"/>
    </row>
    <row r="40" spans="1:12" ht="90" x14ac:dyDescent="0.25">
      <c r="A40" s="3">
        <v>39</v>
      </c>
      <c r="B40" s="3" t="s">
        <v>78</v>
      </c>
      <c r="C40" s="3" t="s">
        <v>237</v>
      </c>
      <c r="D40" s="5" t="s">
        <v>240</v>
      </c>
      <c r="E40" s="6"/>
      <c r="F40" s="6"/>
      <c r="G40" s="6"/>
      <c r="H40" s="6"/>
      <c r="I40" s="6"/>
      <c r="J40" s="3" t="str">
        <f t="shared" si="2"/>
        <v/>
      </c>
      <c r="K40" s="3" t="str">
        <f t="shared" si="3"/>
        <v/>
      </c>
      <c r="L40" s="5"/>
    </row>
    <row r="41" spans="1:12" ht="90" x14ac:dyDescent="0.25">
      <c r="A41" s="3">
        <v>40</v>
      </c>
      <c r="B41" s="3" t="s">
        <v>78</v>
      </c>
      <c r="C41" s="3" t="s">
        <v>241</v>
      </c>
      <c r="D41" s="5" t="s">
        <v>242</v>
      </c>
      <c r="E41" s="6"/>
      <c r="F41" s="6"/>
      <c r="G41" s="6"/>
      <c r="H41" s="6"/>
      <c r="I41" s="6"/>
      <c r="J41" s="3" t="str">
        <f t="shared" si="2"/>
        <v/>
      </c>
      <c r="K41" s="3" t="str">
        <f t="shared" si="3"/>
        <v/>
      </c>
      <c r="L41" s="5"/>
    </row>
    <row r="42" spans="1:12" ht="120" x14ac:dyDescent="0.25">
      <c r="A42" s="3">
        <v>41</v>
      </c>
      <c r="B42" s="3" t="s">
        <v>89</v>
      </c>
      <c r="C42" s="3" t="s">
        <v>243</v>
      </c>
      <c r="D42" s="5" t="s">
        <v>244</v>
      </c>
      <c r="E42" s="6"/>
      <c r="F42" s="6"/>
      <c r="G42" s="6"/>
      <c r="H42" s="6"/>
      <c r="I42" s="6"/>
      <c r="J42" s="3" t="str">
        <f t="shared" si="2"/>
        <v/>
      </c>
      <c r="K42" s="3" t="str">
        <f t="shared" si="3"/>
        <v/>
      </c>
      <c r="L42" s="5"/>
    </row>
    <row r="43" spans="1:12" ht="120" x14ac:dyDescent="0.25">
      <c r="A43" s="3">
        <v>42</v>
      </c>
      <c r="B43" s="3" t="s">
        <v>89</v>
      </c>
      <c r="C43" s="3" t="s">
        <v>243</v>
      </c>
      <c r="D43" s="5" t="s">
        <v>245</v>
      </c>
      <c r="E43" s="6"/>
      <c r="F43" s="6"/>
      <c r="G43" s="6"/>
      <c r="H43" s="6"/>
      <c r="I43" s="6"/>
      <c r="J43" s="3" t="str">
        <f t="shared" si="2"/>
        <v/>
      </c>
      <c r="K43" s="3" t="str">
        <f t="shared" si="3"/>
        <v/>
      </c>
      <c r="L43" s="5"/>
    </row>
    <row r="44" spans="1:12" ht="90" x14ac:dyDescent="0.25">
      <c r="A44" s="3">
        <v>43</v>
      </c>
      <c r="B44" s="3" t="s">
        <v>89</v>
      </c>
      <c r="C44" s="3" t="s">
        <v>246</v>
      </c>
      <c r="D44" s="5" t="s">
        <v>247</v>
      </c>
      <c r="E44" s="6"/>
      <c r="F44" s="6"/>
      <c r="G44" s="6"/>
      <c r="H44" s="6"/>
      <c r="I44" s="6"/>
      <c r="J44" s="3" t="str">
        <f t="shared" si="2"/>
        <v/>
      </c>
      <c r="K44" s="3" t="str">
        <f t="shared" si="3"/>
        <v/>
      </c>
      <c r="L44" s="5"/>
    </row>
    <row r="45" spans="1:12" ht="105" x14ac:dyDescent="0.25">
      <c r="A45" s="3">
        <v>44</v>
      </c>
      <c r="B45" s="3" t="s">
        <v>89</v>
      </c>
      <c r="C45" s="3" t="s">
        <v>248</v>
      </c>
      <c r="D45" s="5" t="s">
        <v>249</v>
      </c>
      <c r="E45" s="6"/>
      <c r="F45" s="6"/>
      <c r="G45" s="6"/>
      <c r="H45" s="6"/>
      <c r="I45" s="6"/>
      <c r="J45" s="3" t="str">
        <f t="shared" si="2"/>
        <v/>
      </c>
      <c r="K45" s="3" t="str">
        <f t="shared" si="3"/>
        <v/>
      </c>
      <c r="L45" s="5"/>
    </row>
    <row r="46" spans="1:12" ht="90" x14ac:dyDescent="0.25">
      <c r="A46" s="3">
        <v>45</v>
      </c>
      <c r="B46" s="3" t="s">
        <v>89</v>
      </c>
      <c r="C46" s="3" t="s">
        <v>248</v>
      </c>
      <c r="D46" s="5" t="s">
        <v>250</v>
      </c>
      <c r="E46" s="6"/>
      <c r="F46" s="6"/>
      <c r="G46" s="6"/>
      <c r="H46" s="6"/>
      <c r="I46" s="6"/>
      <c r="J46" s="3" t="str">
        <f t="shared" si="2"/>
        <v/>
      </c>
      <c r="K46" s="3" t="str">
        <f t="shared" si="3"/>
        <v/>
      </c>
      <c r="L46" s="5"/>
    </row>
    <row r="47" spans="1:12" ht="105" x14ac:dyDescent="0.25">
      <c r="A47" s="3">
        <v>46</v>
      </c>
      <c r="B47" s="3" t="s">
        <v>89</v>
      </c>
      <c r="C47" s="3" t="s">
        <v>248</v>
      </c>
      <c r="D47" s="5" t="s">
        <v>251</v>
      </c>
      <c r="E47" s="6"/>
      <c r="F47" s="6"/>
      <c r="G47" s="6"/>
      <c r="H47" s="6"/>
      <c r="I47" s="6"/>
      <c r="J47" s="3" t="str">
        <f t="shared" si="2"/>
        <v/>
      </c>
      <c r="K47" s="3" t="str">
        <f t="shared" si="3"/>
        <v/>
      </c>
      <c r="L47" s="5"/>
    </row>
    <row r="48" spans="1:12" ht="90" x14ac:dyDescent="0.25">
      <c r="A48" s="3">
        <v>47</v>
      </c>
      <c r="B48" s="3" t="s">
        <v>89</v>
      </c>
      <c r="C48" s="3" t="s">
        <v>252</v>
      </c>
      <c r="D48" s="5" t="s">
        <v>253</v>
      </c>
      <c r="E48" s="6"/>
      <c r="F48" s="6"/>
      <c r="G48" s="6"/>
      <c r="H48" s="6"/>
      <c r="I48" s="6"/>
      <c r="J48" s="3" t="str">
        <f t="shared" si="2"/>
        <v/>
      </c>
      <c r="K48" s="3" t="str">
        <f t="shared" si="3"/>
        <v/>
      </c>
      <c r="L48" s="5"/>
    </row>
    <row r="49" spans="1:12" ht="90" x14ac:dyDescent="0.25">
      <c r="A49" s="3">
        <v>48</v>
      </c>
      <c r="B49" s="3" t="s">
        <v>89</v>
      </c>
      <c r="C49" s="3" t="s">
        <v>252</v>
      </c>
      <c r="D49" s="5" t="s">
        <v>254</v>
      </c>
      <c r="E49" s="6"/>
      <c r="F49" s="6"/>
      <c r="G49" s="6"/>
      <c r="H49" s="6"/>
      <c r="I49" s="6"/>
      <c r="J49" s="3" t="str">
        <f t="shared" si="2"/>
        <v/>
      </c>
      <c r="K49" s="3" t="str">
        <f t="shared" si="3"/>
        <v/>
      </c>
      <c r="L49" s="5"/>
    </row>
    <row r="50" spans="1:12" ht="90" x14ac:dyDescent="0.25">
      <c r="A50" s="3">
        <v>49</v>
      </c>
      <c r="B50" s="3" t="s">
        <v>89</v>
      </c>
      <c r="C50" s="3" t="s">
        <v>255</v>
      </c>
      <c r="D50" s="5" t="s">
        <v>256</v>
      </c>
      <c r="E50" s="6"/>
      <c r="F50" s="6"/>
      <c r="G50" s="6"/>
      <c r="H50" s="6"/>
      <c r="I50" s="6"/>
      <c r="J50" s="3" t="str">
        <f t="shared" si="2"/>
        <v/>
      </c>
      <c r="K50" s="3" t="str">
        <f t="shared" si="3"/>
        <v/>
      </c>
      <c r="L50" s="5"/>
    </row>
    <row r="51" spans="1:12" ht="165" x14ac:dyDescent="0.25">
      <c r="A51" s="3">
        <v>50</v>
      </c>
      <c r="B51" s="3" t="s">
        <v>89</v>
      </c>
      <c r="C51" s="3" t="s">
        <v>257</v>
      </c>
      <c r="D51" s="5" t="s">
        <v>258</v>
      </c>
      <c r="E51" s="6"/>
      <c r="F51" s="6"/>
      <c r="G51" s="6"/>
      <c r="H51" s="6"/>
      <c r="I51" s="6"/>
      <c r="J51" s="3" t="str">
        <f t="shared" si="2"/>
        <v/>
      </c>
      <c r="K51" s="3" t="str">
        <f t="shared" si="3"/>
        <v/>
      </c>
      <c r="L51" s="5"/>
    </row>
    <row r="52" spans="1:12" ht="90" x14ac:dyDescent="0.25">
      <c r="A52" s="3">
        <v>51</v>
      </c>
      <c r="B52" s="3" t="s">
        <v>100</v>
      </c>
      <c r="C52" s="3" t="s">
        <v>259</v>
      </c>
      <c r="D52" s="5" t="s">
        <v>260</v>
      </c>
      <c r="E52" s="6"/>
      <c r="F52" s="6"/>
      <c r="G52" s="6"/>
      <c r="H52" s="6"/>
      <c r="I52" s="6"/>
      <c r="J52" s="3" t="str">
        <f t="shared" si="2"/>
        <v/>
      </c>
      <c r="K52" s="3" t="str">
        <f t="shared" si="3"/>
        <v/>
      </c>
      <c r="L52" s="5"/>
    </row>
    <row r="53" spans="1:12" ht="90" x14ac:dyDescent="0.25">
      <c r="A53" s="3">
        <v>52</v>
      </c>
      <c r="B53" s="3" t="s">
        <v>100</v>
      </c>
      <c r="C53" s="3" t="s">
        <v>259</v>
      </c>
      <c r="D53" s="5" t="s">
        <v>261</v>
      </c>
      <c r="E53" s="6"/>
      <c r="F53" s="6"/>
      <c r="G53" s="6"/>
      <c r="H53" s="6"/>
      <c r="I53" s="6"/>
      <c r="J53" s="3" t="str">
        <f t="shared" si="2"/>
        <v/>
      </c>
      <c r="K53" s="3" t="str">
        <f t="shared" si="3"/>
        <v/>
      </c>
      <c r="L53" s="5"/>
    </row>
    <row r="54" spans="1:12" ht="90" x14ac:dyDescent="0.25">
      <c r="A54" s="3">
        <v>53</v>
      </c>
      <c r="B54" s="3" t="s">
        <v>100</v>
      </c>
      <c r="C54" s="3" t="s">
        <v>259</v>
      </c>
      <c r="D54" s="5" t="s">
        <v>262</v>
      </c>
      <c r="E54" s="6"/>
      <c r="F54" s="6"/>
      <c r="G54" s="6"/>
      <c r="H54" s="6"/>
      <c r="I54" s="6"/>
      <c r="J54" s="3" t="str">
        <f t="shared" si="2"/>
        <v/>
      </c>
      <c r="K54" s="3" t="str">
        <f t="shared" si="3"/>
        <v/>
      </c>
      <c r="L54" s="5"/>
    </row>
    <row r="55" spans="1:12" ht="75" x14ac:dyDescent="0.25">
      <c r="A55" s="3">
        <v>54</v>
      </c>
      <c r="B55" s="3" t="s">
        <v>100</v>
      </c>
      <c r="C55" s="3" t="s">
        <v>259</v>
      </c>
      <c r="D55" s="5" t="s">
        <v>263</v>
      </c>
      <c r="E55" s="6"/>
      <c r="F55" s="6"/>
      <c r="G55" s="6"/>
      <c r="H55" s="6"/>
      <c r="I55" s="6"/>
      <c r="J55" s="3" t="str">
        <f t="shared" si="2"/>
        <v/>
      </c>
      <c r="K55" s="3" t="str">
        <f t="shared" si="3"/>
        <v/>
      </c>
      <c r="L55" s="5"/>
    </row>
    <row r="56" spans="1:12" ht="90" x14ac:dyDescent="0.25">
      <c r="A56" s="3">
        <v>55</v>
      </c>
      <c r="B56" s="3" t="s">
        <v>100</v>
      </c>
      <c r="C56" s="3" t="s">
        <v>264</v>
      </c>
      <c r="D56" s="5" t="s">
        <v>265</v>
      </c>
      <c r="E56" s="6"/>
      <c r="F56" s="6"/>
      <c r="G56" s="6"/>
      <c r="H56" s="6"/>
      <c r="I56" s="6"/>
      <c r="J56" s="3" t="str">
        <f t="shared" si="2"/>
        <v/>
      </c>
      <c r="K56" s="3" t="str">
        <f t="shared" si="3"/>
        <v/>
      </c>
      <c r="L56" s="5"/>
    </row>
    <row r="57" spans="1:12" ht="90" x14ac:dyDescent="0.25">
      <c r="A57" s="3">
        <v>56</v>
      </c>
      <c r="B57" s="3" t="s">
        <v>100</v>
      </c>
      <c r="C57" s="3" t="s">
        <v>264</v>
      </c>
      <c r="D57" s="5" t="s">
        <v>266</v>
      </c>
      <c r="E57" s="6"/>
      <c r="F57" s="6"/>
      <c r="G57" s="6"/>
      <c r="H57" s="6"/>
      <c r="I57" s="6"/>
      <c r="J57" s="3" t="str">
        <f t="shared" si="2"/>
        <v/>
      </c>
      <c r="K57" s="3" t="str">
        <f t="shared" si="3"/>
        <v/>
      </c>
      <c r="L57" s="5"/>
    </row>
    <row r="58" spans="1:12" ht="90" x14ac:dyDescent="0.25">
      <c r="A58" s="3">
        <v>57</v>
      </c>
      <c r="B58" s="3" t="s">
        <v>100</v>
      </c>
      <c r="C58" s="3" t="s">
        <v>264</v>
      </c>
      <c r="D58" s="5" t="s">
        <v>267</v>
      </c>
      <c r="E58" s="6"/>
      <c r="F58" s="6"/>
      <c r="G58" s="6"/>
      <c r="H58" s="6"/>
      <c r="I58" s="6"/>
      <c r="J58" s="3" t="str">
        <f t="shared" si="2"/>
        <v/>
      </c>
      <c r="K58" s="3" t="str">
        <f t="shared" si="3"/>
        <v/>
      </c>
      <c r="L58" s="5"/>
    </row>
    <row r="59" spans="1:12" ht="90" x14ac:dyDescent="0.25">
      <c r="A59" s="3">
        <v>58</v>
      </c>
      <c r="B59" s="3" t="s">
        <v>100</v>
      </c>
      <c r="C59" s="3" t="s">
        <v>268</v>
      </c>
      <c r="D59" s="5" t="s">
        <v>269</v>
      </c>
      <c r="E59" s="6"/>
      <c r="F59" s="6"/>
      <c r="G59" s="6"/>
      <c r="H59" s="6"/>
      <c r="I59" s="6"/>
      <c r="J59" s="3" t="str">
        <f t="shared" si="2"/>
        <v/>
      </c>
      <c r="K59" s="3" t="str">
        <f t="shared" si="3"/>
        <v/>
      </c>
      <c r="L59" s="5"/>
    </row>
    <row r="60" spans="1:12" ht="105" x14ac:dyDescent="0.25">
      <c r="A60" s="3">
        <v>59</v>
      </c>
      <c r="B60" s="3" t="s">
        <v>100</v>
      </c>
      <c r="C60" s="3" t="s">
        <v>268</v>
      </c>
      <c r="D60" s="5" t="s">
        <v>270</v>
      </c>
      <c r="E60" s="6"/>
      <c r="F60" s="6"/>
      <c r="G60" s="6"/>
      <c r="H60" s="6"/>
      <c r="I60" s="6"/>
      <c r="J60" s="3" t="str">
        <f t="shared" si="2"/>
        <v/>
      </c>
      <c r="K60" s="3" t="str">
        <f t="shared" si="3"/>
        <v/>
      </c>
      <c r="L60" s="5"/>
    </row>
    <row r="61" spans="1:12" ht="90" x14ac:dyDescent="0.25">
      <c r="A61" s="3">
        <v>60</v>
      </c>
      <c r="B61" s="3" t="s">
        <v>111</v>
      </c>
      <c r="C61" s="3" t="s">
        <v>271</v>
      </c>
      <c r="D61" s="5" t="s">
        <v>272</v>
      </c>
      <c r="E61" s="6"/>
      <c r="F61" s="6"/>
      <c r="G61" s="6"/>
      <c r="H61" s="6"/>
      <c r="I61" s="6"/>
      <c r="J61" s="3" t="str">
        <f t="shared" si="2"/>
        <v/>
      </c>
      <c r="K61" s="3" t="str">
        <f t="shared" si="3"/>
        <v/>
      </c>
      <c r="L61" s="5"/>
    </row>
    <row r="62" spans="1:12" ht="90" x14ac:dyDescent="0.25">
      <c r="A62" s="3">
        <v>61</v>
      </c>
      <c r="B62" s="3" t="s">
        <v>111</v>
      </c>
      <c r="C62" s="3" t="s">
        <v>271</v>
      </c>
      <c r="D62" s="5" t="s">
        <v>273</v>
      </c>
      <c r="E62" s="6"/>
      <c r="F62" s="6"/>
      <c r="G62" s="6"/>
      <c r="H62" s="6"/>
      <c r="I62" s="6"/>
      <c r="J62" s="3" t="str">
        <f t="shared" si="2"/>
        <v/>
      </c>
      <c r="K62" s="3" t="str">
        <f t="shared" si="3"/>
        <v/>
      </c>
      <c r="L62" s="5"/>
    </row>
    <row r="63" spans="1:12" ht="90" x14ac:dyDescent="0.25">
      <c r="A63" s="3">
        <v>62</v>
      </c>
      <c r="B63" s="3" t="s">
        <v>111</v>
      </c>
      <c r="C63" s="3" t="s">
        <v>274</v>
      </c>
      <c r="D63" s="5" t="s">
        <v>275</v>
      </c>
      <c r="E63" s="6"/>
      <c r="F63" s="6"/>
      <c r="G63" s="6"/>
      <c r="H63" s="6"/>
      <c r="I63" s="6"/>
      <c r="J63" s="3" t="str">
        <f t="shared" si="2"/>
        <v/>
      </c>
      <c r="K63" s="3" t="str">
        <f t="shared" si="3"/>
        <v/>
      </c>
      <c r="L63" s="5"/>
    </row>
    <row r="64" spans="1:12" ht="90" x14ac:dyDescent="0.25">
      <c r="A64" s="3">
        <v>63</v>
      </c>
      <c r="B64" s="3" t="s">
        <v>111</v>
      </c>
      <c r="C64" s="3" t="s">
        <v>274</v>
      </c>
      <c r="D64" s="5" t="s">
        <v>276</v>
      </c>
      <c r="E64" s="6"/>
      <c r="F64" s="6"/>
      <c r="G64" s="6"/>
      <c r="H64" s="6"/>
      <c r="I64" s="6"/>
      <c r="J64" s="3" t="str">
        <f t="shared" si="2"/>
        <v/>
      </c>
      <c r="K64" s="3" t="str">
        <f t="shared" si="3"/>
        <v/>
      </c>
      <c r="L64" s="5"/>
    </row>
    <row r="65" spans="1:12" ht="90" x14ac:dyDescent="0.25">
      <c r="A65" s="3">
        <v>64</v>
      </c>
      <c r="B65" s="3" t="s">
        <v>111</v>
      </c>
      <c r="C65" s="3" t="s">
        <v>277</v>
      </c>
      <c r="D65" s="5" t="s">
        <v>278</v>
      </c>
      <c r="E65" s="6"/>
      <c r="F65" s="6"/>
      <c r="G65" s="6"/>
      <c r="H65" s="6"/>
      <c r="I65" s="6"/>
      <c r="J65" s="3" t="str">
        <f t="shared" si="2"/>
        <v/>
      </c>
      <c r="K65" s="3" t="str">
        <f t="shared" si="3"/>
        <v/>
      </c>
      <c r="L65" s="5"/>
    </row>
    <row r="66" spans="1:12" ht="90" x14ac:dyDescent="0.25">
      <c r="A66" s="3">
        <v>65</v>
      </c>
      <c r="B66" s="3" t="s">
        <v>111</v>
      </c>
      <c r="C66" s="3" t="s">
        <v>277</v>
      </c>
      <c r="D66" s="5" t="s">
        <v>279</v>
      </c>
      <c r="E66" s="6"/>
      <c r="F66" s="6"/>
      <c r="G66" s="6"/>
      <c r="H66" s="6"/>
      <c r="I66" s="6"/>
      <c r="J66" s="3" t="str">
        <f t="shared" ref="J66:J97" si="4">IF(COUNT(E66:I66)=5,AVERAGE(E66:I66),"")</f>
        <v/>
      </c>
      <c r="K66" s="3" t="str">
        <f t="shared" ref="K66:K97" si="5">IF(J66="","",IF(J66&gt;=4,"Đạt","Không"))</f>
        <v/>
      </c>
      <c r="L66" s="5"/>
    </row>
    <row r="67" spans="1:12" ht="90" x14ac:dyDescent="0.25">
      <c r="A67" s="3">
        <v>66</v>
      </c>
      <c r="B67" s="3" t="s">
        <v>111</v>
      </c>
      <c r="C67" s="3" t="s">
        <v>280</v>
      </c>
      <c r="D67" s="5" t="s">
        <v>281</v>
      </c>
      <c r="E67" s="6"/>
      <c r="F67" s="6"/>
      <c r="G67" s="6"/>
      <c r="H67" s="6"/>
      <c r="I67" s="6"/>
      <c r="J67" s="3" t="str">
        <f t="shared" si="4"/>
        <v/>
      </c>
      <c r="K67" s="3" t="str">
        <f t="shared" si="5"/>
        <v/>
      </c>
      <c r="L67" s="5"/>
    </row>
    <row r="68" spans="1:12" ht="90" x14ac:dyDescent="0.25">
      <c r="A68" s="3">
        <v>67</v>
      </c>
      <c r="B68" s="3" t="s">
        <v>111</v>
      </c>
      <c r="C68" s="3" t="s">
        <v>280</v>
      </c>
      <c r="D68" s="5" t="s">
        <v>282</v>
      </c>
      <c r="E68" s="6"/>
      <c r="F68" s="6"/>
      <c r="G68" s="6"/>
      <c r="H68" s="6"/>
      <c r="I68" s="6"/>
      <c r="J68" s="3" t="str">
        <f t="shared" si="4"/>
        <v/>
      </c>
      <c r="K68" s="3" t="str">
        <f t="shared" si="5"/>
        <v/>
      </c>
      <c r="L68" s="5"/>
    </row>
    <row r="69" spans="1:12" ht="90" x14ac:dyDescent="0.25">
      <c r="A69" s="3">
        <v>68</v>
      </c>
      <c r="B69" s="3" t="s">
        <v>111</v>
      </c>
      <c r="C69" s="3" t="s">
        <v>283</v>
      </c>
      <c r="D69" s="5" t="s">
        <v>284</v>
      </c>
      <c r="E69" s="6"/>
      <c r="F69" s="6"/>
      <c r="G69" s="6"/>
      <c r="H69" s="6"/>
      <c r="I69" s="6"/>
      <c r="J69" s="3" t="str">
        <f t="shared" si="4"/>
        <v/>
      </c>
      <c r="K69" s="3" t="str">
        <f t="shared" si="5"/>
        <v/>
      </c>
      <c r="L69" s="5"/>
    </row>
    <row r="70" spans="1:12" ht="90" x14ac:dyDescent="0.25">
      <c r="A70" s="3">
        <v>69</v>
      </c>
      <c r="B70" s="3" t="s">
        <v>111</v>
      </c>
      <c r="C70" s="3" t="s">
        <v>285</v>
      </c>
      <c r="D70" s="5" t="s">
        <v>286</v>
      </c>
      <c r="E70" s="6"/>
      <c r="F70" s="6"/>
      <c r="G70" s="6"/>
      <c r="H70" s="6"/>
      <c r="I70" s="6"/>
      <c r="J70" s="3" t="str">
        <f t="shared" si="4"/>
        <v/>
      </c>
      <c r="K70" s="3" t="str">
        <f t="shared" si="5"/>
        <v/>
      </c>
      <c r="L70" s="5"/>
    </row>
    <row r="71" spans="1:12" ht="90" x14ac:dyDescent="0.25">
      <c r="A71" s="3">
        <v>70</v>
      </c>
      <c r="B71" s="3" t="s">
        <v>122</v>
      </c>
      <c r="C71" s="3" t="s">
        <v>287</v>
      </c>
      <c r="D71" s="5" t="s">
        <v>288</v>
      </c>
      <c r="E71" s="6"/>
      <c r="F71" s="6"/>
      <c r="G71" s="6"/>
      <c r="H71" s="6"/>
      <c r="I71" s="6"/>
      <c r="J71" s="3" t="str">
        <f t="shared" si="4"/>
        <v/>
      </c>
      <c r="K71" s="3" t="str">
        <f t="shared" si="5"/>
        <v/>
      </c>
      <c r="L71" s="5"/>
    </row>
    <row r="72" spans="1:12" ht="90" x14ac:dyDescent="0.25">
      <c r="A72" s="3">
        <v>71</v>
      </c>
      <c r="B72" s="3" t="s">
        <v>122</v>
      </c>
      <c r="C72" s="3" t="s">
        <v>287</v>
      </c>
      <c r="D72" s="5" t="s">
        <v>289</v>
      </c>
      <c r="E72" s="6"/>
      <c r="F72" s="6"/>
      <c r="G72" s="6"/>
      <c r="H72" s="6"/>
      <c r="I72" s="6"/>
      <c r="J72" s="3" t="str">
        <f t="shared" si="4"/>
        <v/>
      </c>
      <c r="K72" s="3" t="str">
        <f t="shared" si="5"/>
        <v/>
      </c>
      <c r="L72" s="5"/>
    </row>
    <row r="73" spans="1:12" ht="90" x14ac:dyDescent="0.25">
      <c r="A73" s="3">
        <v>72</v>
      </c>
      <c r="B73" s="3" t="s">
        <v>122</v>
      </c>
      <c r="C73" s="3" t="s">
        <v>287</v>
      </c>
      <c r="D73" s="5" t="s">
        <v>290</v>
      </c>
      <c r="E73" s="6"/>
      <c r="F73" s="6"/>
      <c r="G73" s="6"/>
      <c r="H73" s="6"/>
      <c r="I73" s="6"/>
      <c r="J73" s="3" t="str">
        <f t="shared" si="4"/>
        <v/>
      </c>
      <c r="K73" s="3" t="str">
        <f t="shared" si="5"/>
        <v/>
      </c>
      <c r="L73" s="5"/>
    </row>
    <row r="74" spans="1:12" ht="90" x14ac:dyDescent="0.25">
      <c r="A74" s="3">
        <v>73</v>
      </c>
      <c r="B74" s="3" t="s">
        <v>122</v>
      </c>
      <c r="C74" s="3" t="s">
        <v>287</v>
      </c>
      <c r="D74" s="5" t="s">
        <v>291</v>
      </c>
      <c r="E74" s="6"/>
      <c r="F74" s="6"/>
      <c r="G74" s="6"/>
      <c r="H74" s="6"/>
      <c r="I74" s="6"/>
      <c r="J74" s="3" t="str">
        <f t="shared" si="4"/>
        <v/>
      </c>
      <c r="K74" s="3" t="str">
        <f t="shared" si="5"/>
        <v/>
      </c>
      <c r="L74" s="5"/>
    </row>
    <row r="75" spans="1:12" ht="150" x14ac:dyDescent="0.25">
      <c r="A75" s="3">
        <v>74</v>
      </c>
      <c r="B75" s="3" t="s">
        <v>122</v>
      </c>
      <c r="C75" s="3" t="s">
        <v>292</v>
      </c>
      <c r="D75" s="5" t="s">
        <v>293</v>
      </c>
      <c r="E75" s="6"/>
      <c r="F75" s="6"/>
      <c r="G75" s="6"/>
      <c r="H75" s="6"/>
      <c r="I75" s="6"/>
      <c r="J75" s="3" t="str">
        <f t="shared" si="4"/>
        <v/>
      </c>
      <c r="K75" s="3" t="str">
        <f t="shared" si="5"/>
        <v/>
      </c>
      <c r="L75" s="5"/>
    </row>
    <row r="76" spans="1:12" ht="105" x14ac:dyDescent="0.25">
      <c r="A76" s="3">
        <v>75</v>
      </c>
      <c r="B76" s="3" t="s">
        <v>122</v>
      </c>
      <c r="C76" s="3" t="s">
        <v>292</v>
      </c>
      <c r="D76" s="5" t="s">
        <v>294</v>
      </c>
      <c r="E76" s="6"/>
      <c r="F76" s="6"/>
      <c r="G76" s="6"/>
      <c r="H76" s="6"/>
      <c r="I76" s="6"/>
      <c r="J76" s="3" t="str">
        <f t="shared" si="4"/>
        <v/>
      </c>
      <c r="K76" s="3" t="str">
        <f t="shared" si="5"/>
        <v/>
      </c>
      <c r="L76" s="5"/>
    </row>
    <row r="77" spans="1:12" ht="75" x14ac:dyDescent="0.25">
      <c r="A77" s="3">
        <v>76</v>
      </c>
      <c r="B77" s="3" t="s">
        <v>122</v>
      </c>
      <c r="C77" s="3" t="s">
        <v>295</v>
      </c>
      <c r="D77" s="5" t="s">
        <v>296</v>
      </c>
      <c r="E77" s="6"/>
      <c r="F77" s="6"/>
      <c r="G77" s="6"/>
      <c r="H77" s="6"/>
      <c r="I77" s="6"/>
      <c r="J77" s="3" t="str">
        <f t="shared" si="4"/>
        <v/>
      </c>
      <c r="K77" s="3" t="str">
        <f t="shared" si="5"/>
        <v/>
      </c>
      <c r="L77" s="5"/>
    </row>
    <row r="78" spans="1:12" ht="90" x14ac:dyDescent="0.25">
      <c r="A78" s="3">
        <v>77</v>
      </c>
      <c r="B78" s="3" t="s">
        <v>122</v>
      </c>
      <c r="C78" s="3" t="s">
        <v>295</v>
      </c>
      <c r="D78" s="5" t="s">
        <v>297</v>
      </c>
      <c r="E78" s="6"/>
      <c r="F78" s="6"/>
      <c r="G78" s="6"/>
      <c r="H78" s="6"/>
      <c r="I78" s="6"/>
      <c r="J78" s="3" t="str">
        <f t="shared" si="4"/>
        <v/>
      </c>
      <c r="K78" s="3" t="str">
        <f t="shared" si="5"/>
        <v/>
      </c>
      <c r="L78" s="5"/>
    </row>
    <row r="79" spans="1:12" ht="75" x14ac:dyDescent="0.25">
      <c r="A79" s="3">
        <v>78</v>
      </c>
      <c r="B79" s="3" t="s">
        <v>122</v>
      </c>
      <c r="C79" s="3" t="s">
        <v>295</v>
      </c>
      <c r="D79" s="5" t="s">
        <v>298</v>
      </c>
      <c r="E79" s="6"/>
      <c r="F79" s="6"/>
      <c r="G79" s="6"/>
      <c r="H79" s="6"/>
      <c r="I79" s="6"/>
      <c r="J79" s="3" t="str">
        <f t="shared" si="4"/>
        <v/>
      </c>
      <c r="K79" s="3" t="str">
        <f t="shared" si="5"/>
        <v/>
      </c>
      <c r="L79" s="5"/>
    </row>
    <row r="80" spans="1:12" ht="105" x14ac:dyDescent="0.25">
      <c r="A80" s="3">
        <v>79</v>
      </c>
      <c r="B80" s="3" t="s">
        <v>122</v>
      </c>
      <c r="C80" s="3" t="s">
        <v>299</v>
      </c>
      <c r="D80" s="5" t="s">
        <v>300</v>
      </c>
      <c r="E80" s="6"/>
      <c r="F80" s="6"/>
      <c r="G80" s="6"/>
      <c r="H80" s="6"/>
      <c r="I80" s="6"/>
      <c r="J80" s="3" t="str">
        <f t="shared" si="4"/>
        <v/>
      </c>
      <c r="K80" s="3" t="str">
        <f t="shared" si="5"/>
        <v/>
      </c>
      <c r="L80" s="5"/>
    </row>
    <row r="81" spans="1:12" ht="90" x14ac:dyDescent="0.25">
      <c r="A81" s="3">
        <v>80</v>
      </c>
      <c r="B81" s="3" t="s">
        <v>133</v>
      </c>
      <c r="C81" s="3" t="s">
        <v>287</v>
      </c>
      <c r="D81" s="5" t="s">
        <v>301</v>
      </c>
      <c r="E81" s="6"/>
      <c r="F81" s="6"/>
      <c r="G81" s="6"/>
      <c r="H81" s="6"/>
      <c r="I81" s="6"/>
      <c r="J81" s="3" t="str">
        <f t="shared" si="4"/>
        <v/>
      </c>
      <c r="K81" s="3" t="str">
        <f t="shared" si="5"/>
        <v/>
      </c>
      <c r="L81" s="5"/>
    </row>
    <row r="82" spans="1:12" ht="90" x14ac:dyDescent="0.25">
      <c r="A82" s="3">
        <v>81</v>
      </c>
      <c r="B82" s="3" t="s">
        <v>133</v>
      </c>
      <c r="C82" s="3" t="s">
        <v>287</v>
      </c>
      <c r="D82" s="5" t="s">
        <v>302</v>
      </c>
      <c r="E82" s="6"/>
      <c r="F82" s="6"/>
      <c r="G82" s="6"/>
      <c r="H82" s="6"/>
      <c r="I82" s="6"/>
      <c r="J82" s="3" t="str">
        <f t="shared" si="4"/>
        <v/>
      </c>
      <c r="K82" s="3" t="str">
        <f t="shared" si="5"/>
        <v/>
      </c>
      <c r="L82" s="5"/>
    </row>
    <row r="83" spans="1:12" ht="90" x14ac:dyDescent="0.25">
      <c r="A83" s="3">
        <v>82</v>
      </c>
      <c r="B83" s="3" t="s">
        <v>133</v>
      </c>
      <c r="C83" s="3" t="s">
        <v>287</v>
      </c>
      <c r="D83" s="5" t="s">
        <v>303</v>
      </c>
      <c r="E83" s="6"/>
      <c r="F83" s="6"/>
      <c r="G83" s="6"/>
      <c r="H83" s="6"/>
      <c r="I83" s="6"/>
      <c r="J83" s="3" t="str">
        <f t="shared" si="4"/>
        <v/>
      </c>
      <c r="K83" s="3" t="str">
        <f t="shared" si="5"/>
        <v/>
      </c>
      <c r="L83" s="5"/>
    </row>
    <row r="84" spans="1:12" ht="90" x14ac:dyDescent="0.25">
      <c r="A84" s="3">
        <v>83</v>
      </c>
      <c r="B84" s="3" t="s">
        <v>133</v>
      </c>
      <c r="C84" s="3" t="s">
        <v>287</v>
      </c>
      <c r="D84" s="5" t="s">
        <v>304</v>
      </c>
      <c r="E84" s="6"/>
      <c r="F84" s="6"/>
      <c r="G84" s="6"/>
      <c r="H84" s="6"/>
      <c r="I84" s="6"/>
      <c r="J84" s="3" t="str">
        <f t="shared" si="4"/>
        <v/>
      </c>
      <c r="K84" s="3" t="str">
        <f t="shared" si="5"/>
        <v/>
      </c>
      <c r="L84" s="5"/>
    </row>
    <row r="85" spans="1:12" ht="105" x14ac:dyDescent="0.25">
      <c r="A85" s="3">
        <v>84</v>
      </c>
      <c r="B85" s="3" t="s">
        <v>133</v>
      </c>
      <c r="C85" s="3" t="s">
        <v>305</v>
      </c>
      <c r="D85" s="5" t="s">
        <v>306</v>
      </c>
      <c r="E85" s="6"/>
      <c r="F85" s="6"/>
      <c r="G85" s="6"/>
      <c r="H85" s="6"/>
      <c r="I85" s="6"/>
      <c r="J85" s="3" t="str">
        <f t="shared" si="4"/>
        <v/>
      </c>
      <c r="K85" s="3" t="str">
        <f t="shared" si="5"/>
        <v/>
      </c>
      <c r="L85" s="5"/>
    </row>
    <row r="86" spans="1:12" ht="90" x14ac:dyDescent="0.25">
      <c r="A86" s="3">
        <v>85</v>
      </c>
      <c r="B86" s="3" t="s">
        <v>133</v>
      </c>
      <c r="C86" s="3" t="s">
        <v>305</v>
      </c>
      <c r="D86" s="5" t="s">
        <v>307</v>
      </c>
      <c r="E86" s="6"/>
      <c r="F86" s="6"/>
      <c r="G86" s="6"/>
      <c r="H86" s="6"/>
      <c r="I86" s="6"/>
      <c r="J86" s="3" t="str">
        <f t="shared" si="4"/>
        <v/>
      </c>
      <c r="K86" s="3" t="str">
        <f t="shared" si="5"/>
        <v/>
      </c>
      <c r="L86" s="5"/>
    </row>
    <row r="87" spans="1:12" ht="105" x14ac:dyDescent="0.25">
      <c r="A87" s="3">
        <v>86</v>
      </c>
      <c r="B87" s="3" t="s">
        <v>133</v>
      </c>
      <c r="C87" s="3" t="s">
        <v>305</v>
      </c>
      <c r="D87" s="5" t="s">
        <v>308</v>
      </c>
      <c r="E87" s="6"/>
      <c r="F87" s="6"/>
      <c r="G87" s="6"/>
      <c r="H87" s="6"/>
      <c r="I87" s="6"/>
      <c r="J87" s="3" t="str">
        <f t="shared" si="4"/>
        <v/>
      </c>
      <c r="K87" s="3" t="str">
        <f t="shared" si="5"/>
        <v/>
      </c>
      <c r="L87" s="5"/>
    </row>
    <row r="88" spans="1:12" ht="90" x14ac:dyDescent="0.25">
      <c r="A88" s="3">
        <v>87</v>
      </c>
      <c r="B88" s="3" t="s">
        <v>133</v>
      </c>
      <c r="C88" s="3" t="s">
        <v>309</v>
      </c>
      <c r="D88" s="5" t="s">
        <v>310</v>
      </c>
      <c r="E88" s="6"/>
      <c r="F88" s="6"/>
      <c r="G88" s="6"/>
      <c r="H88" s="6"/>
      <c r="I88" s="6"/>
      <c r="J88" s="3" t="str">
        <f t="shared" si="4"/>
        <v/>
      </c>
      <c r="K88" s="3" t="str">
        <f t="shared" si="5"/>
        <v/>
      </c>
      <c r="L88" s="5"/>
    </row>
    <row r="89" spans="1:12" ht="90" x14ac:dyDescent="0.25">
      <c r="A89" s="3">
        <v>88</v>
      </c>
      <c r="B89" s="3" t="s">
        <v>133</v>
      </c>
      <c r="C89" s="3" t="s">
        <v>309</v>
      </c>
      <c r="D89" s="5" t="s">
        <v>311</v>
      </c>
      <c r="E89" s="6"/>
      <c r="F89" s="6"/>
      <c r="G89" s="6"/>
      <c r="H89" s="6"/>
      <c r="I89" s="6"/>
      <c r="J89" s="3" t="str">
        <f t="shared" si="4"/>
        <v/>
      </c>
      <c r="K89" s="3" t="str">
        <f t="shared" si="5"/>
        <v/>
      </c>
      <c r="L89" s="5"/>
    </row>
    <row r="90" spans="1:12" ht="120" x14ac:dyDescent="0.25">
      <c r="A90" s="3">
        <v>89</v>
      </c>
      <c r="B90" s="3" t="s">
        <v>133</v>
      </c>
      <c r="C90" s="3" t="s">
        <v>312</v>
      </c>
      <c r="D90" s="5" t="s">
        <v>313</v>
      </c>
      <c r="E90" s="6"/>
      <c r="F90" s="6"/>
      <c r="G90" s="6"/>
      <c r="H90" s="6"/>
      <c r="I90" s="6"/>
      <c r="J90" s="3" t="str">
        <f t="shared" si="4"/>
        <v/>
      </c>
      <c r="K90" s="3" t="str">
        <f t="shared" si="5"/>
        <v/>
      </c>
      <c r="L90" s="5"/>
    </row>
    <row r="91" spans="1:12" ht="90" x14ac:dyDescent="0.25">
      <c r="A91" s="3">
        <v>90</v>
      </c>
      <c r="B91" s="3" t="s">
        <v>144</v>
      </c>
      <c r="C91" s="3" t="s">
        <v>314</v>
      </c>
      <c r="D91" s="5" t="s">
        <v>315</v>
      </c>
      <c r="E91" s="6"/>
      <c r="F91" s="6"/>
      <c r="G91" s="6"/>
      <c r="H91" s="6"/>
      <c r="I91" s="6"/>
      <c r="J91" s="3" t="str">
        <f t="shared" si="4"/>
        <v/>
      </c>
      <c r="K91" s="3" t="str">
        <f t="shared" si="5"/>
        <v/>
      </c>
      <c r="L91" s="5"/>
    </row>
    <row r="92" spans="1:12" ht="90" x14ac:dyDescent="0.25">
      <c r="A92" s="3">
        <v>91</v>
      </c>
      <c r="B92" s="3" t="s">
        <v>144</v>
      </c>
      <c r="C92" s="3" t="s">
        <v>314</v>
      </c>
      <c r="D92" s="5" t="s">
        <v>316</v>
      </c>
      <c r="E92" s="6"/>
      <c r="F92" s="6"/>
      <c r="G92" s="6"/>
      <c r="H92" s="6"/>
      <c r="I92" s="6"/>
      <c r="J92" s="3" t="str">
        <f t="shared" si="4"/>
        <v/>
      </c>
      <c r="K92" s="3" t="str">
        <f t="shared" si="5"/>
        <v/>
      </c>
      <c r="L92" s="5"/>
    </row>
    <row r="93" spans="1:12" ht="90" x14ac:dyDescent="0.25">
      <c r="A93" s="3">
        <v>92</v>
      </c>
      <c r="B93" s="3" t="s">
        <v>144</v>
      </c>
      <c r="C93" s="3" t="s">
        <v>317</v>
      </c>
      <c r="D93" s="5" t="s">
        <v>318</v>
      </c>
      <c r="E93" s="6"/>
      <c r="F93" s="6"/>
      <c r="G93" s="6"/>
      <c r="H93" s="6"/>
      <c r="I93" s="6"/>
      <c r="J93" s="3" t="str">
        <f t="shared" si="4"/>
        <v/>
      </c>
      <c r="K93" s="3" t="str">
        <f t="shared" si="5"/>
        <v/>
      </c>
      <c r="L93" s="5"/>
    </row>
    <row r="94" spans="1:12" ht="90" x14ac:dyDescent="0.25">
      <c r="A94" s="3">
        <v>93</v>
      </c>
      <c r="B94" s="3" t="s">
        <v>144</v>
      </c>
      <c r="C94" s="3" t="s">
        <v>317</v>
      </c>
      <c r="D94" s="5" t="s">
        <v>319</v>
      </c>
      <c r="E94" s="6"/>
      <c r="F94" s="6"/>
      <c r="G94" s="6"/>
      <c r="H94" s="6"/>
      <c r="I94" s="6"/>
      <c r="J94" s="3" t="str">
        <f t="shared" si="4"/>
        <v/>
      </c>
      <c r="K94" s="3" t="str">
        <f t="shared" si="5"/>
        <v/>
      </c>
      <c r="L94" s="5"/>
    </row>
    <row r="95" spans="1:12" ht="90" x14ac:dyDescent="0.25">
      <c r="A95" s="3">
        <v>94</v>
      </c>
      <c r="B95" s="3" t="s">
        <v>144</v>
      </c>
      <c r="C95" s="3" t="s">
        <v>320</v>
      </c>
      <c r="D95" s="5" t="s">
        <v>321</v>
      </c>
      <c r="E95" s="6"/>
      <c r="F95" s="6"/>
      <c r="G95" s="6"/>
      <c r="H95" s="6"/>
      <c r="I95" s="6"/>
      <c r="J95" s="3" t="str">
        <f t="shared" si="4"/>
        <v/>
      </c>
      <c r="K95" s="3" t="str">
        <f t="shared" si="5"/>
        <v/>
      </c>
      <c r="L95" s="5"/>
    </row>
    <row r="96" spans="1:12" ht="90" x14ac:dyDescent="0.25">
      <c r="A96" s="3">
        <v>95</v>
      </c>
      <c r="B96" s="3" t="s">
        <v>144</v>
      </c>
      <c r="C96" s="3" t="s">
        <v>322</v>
      </c>
      <c r="D96" s="5" t="s">
        <v>323</v>
      </c>
      <c r="E96" s="6"/>
      <c r="F96" s="6"/>
      <c r="G96" s="6"/>
      <c r="H96" s="6"/>
      <c r="I96" s="6"/>
      <c r="J96" s="3" t="str">
        <f t="shared" si="4"/>
        <v/>
      </c>
      <c r="K96" s="3" t="str">
        <f t="shared" si="5"/>
        <v/>
      </c>
      <c r="L96" s="5"/>
    </row>
    <row r="97" spans="1:12" ht="90" x14ac:dyDescent="0.25">
      <c r="A97" s="3">
        <v>96</v>
      </c>
      <c r="B97" s="3" t="s">
        <v>144</v>
      </c>
      <c r="C97" s="3" t="s">
        <v>322</v>
      </c>
      <c r="D97" s="5" t="s">
        <v>324</v>
      </c>
      <c r="E97" s="6"/>
      <c r="F97" s="6"/>
      <c r="G97" s="6"/>
      <c r="H97" s="6"/>
      <c r="I97" s="6"/>
      <c r="J97" s="3" t="str">
        <f t="shared" si="4"/>
        <v/>
      </c>
      <c r="K97" s="3" t="str">
        <f t="shared" si="5"/>
        <v/>
      </c>
      <c r="L97" s="5"/>
    </row>
    <row r="98" spans="1:12" ht="90" x14ac:dyDescent="0.25">
      <c r="A98" s="3">
        <v>97</v>
      </c>
      <c r="B98" s="3" t="s">
        <v>144</v>
      </c>
      <c r="C98" s="3" t="s">
        <v>325</v>
      </c>
      <c r="D98" s="5" t="s">
        <v>326</v>
      </c>
      <c r="E98" s="6"/>
      <c r="F98" s="6"/>
      <c r="G98" s="6"/>
      <c r="H98" s="6"/>
      <c r="I98" s="6"/>
      <c r="J98" s="3" t="str">
        <f t="shared" ref="J98:J129" si="6">IF(COUNT(E98:I98)=5,AVERAGE(E98:I98),"")</f>
        <v/>
      </c>
      <c r="K98" s="3" t="str">
        <f t="shared" ref="K98:K129" si="7">IF(J98="","",IF(J98&gt;=4,"Đạt","Không"))</f>
        <v/>
      </c>
      <c r="L98" s="5"/>
    </row>
    <row r="99" spans="1:12" ht="90" x14ac:dyDescent="0.25">
      <c r="A99" s="3">
        <v>98</v>
      </c>
      <c r="B99" s="3" t="s">
        <v>144</v>
      </c>
      <c r="C99" s="3" t="s">
        <v>325</v>
      </c>
      <c r="D99" s="5" t="s">
        <v>327</v>
      </c>
      <c r="E99" s="6"/>
      <c r="F99" s="6"/>
      <c r="G99" s="6"/>
      <c r="H99" s="6"/>
      <c r="I99" s="6"/>
      <c r="J99" s="3" t="str">
        <f t="shared" si="6"/>
        <v/>
      </c>
      <c r="K99" s="3" t="str">
        <f t="shared" si="7"/>
        <v/>
      </c>
      <c r="L99" s="5"/>
    </row>
    <row r="100" spans="1:12" ht="105" x14ac:dyDescent="0.25">
      <c r="A100" s="3">
        <v>99</v>
      </c>
      <c r="B100" s="3" t="s">
        <v>144</v>
      </c>
      <c r="C100" s="3" t="s">
        <v>325</v>
      </c>
      <c r="D100" s="5" t="s">
        <v>328</v>
      </c>
      <c r="E100" s="6"/>
      <c r="F100" s="6"/>
      <c r="G100" s="6"/>
      <c r="H100" s="6"/>
      <c r="I100" s="6"/>
      <c r="J100" s="3" t="str">
        <f t="shared" si="6"/>
        <v/>
      </c>
      <c r="K100" s="3" t="str">
        <f t="shared" si="7"/>
        <v/>
      </c>
      <c r="L100" s="5"/>
    </row>
    <row r="101" spans="1:12" ht="105" x14ac:dyDescent="0.25">
      <c r="A101" s="3">
        <v>100</v>
      </c>
      <c r="B101" s="3" t="s">
        <v>155</v>
      </c>
      <c r="C101" s="3" t="s">
        <v>329</v>
      </c>
      <c r="D101" s="5" t="s">
        <v>330</v>
      </c>
      <c r="E101" s="6"/>
      <c r="F101" s="6"/>
      <c r="G101" s="6"/>
      <c r="H101" s="6"/>
      <c r="I101" s="6"/>
      <c r="J101" s="3" t="str">
        <f t="shared" si="6"/>
        <v/>
      </c>
      <c r="K101" s="3" t="str">
        <f t="shared" si="7"/>
        <v/>
      </c>
      <c r="L101" s="5"/>
    </row>
    <row r="102" spans="1:12" ht="105" x14ac:dyDescent="0.25">
      <c r="A102" s="3">
        <v>101</v>
      </c>
      <c r="B102" s="3" t="s">
        <v>155</v>
      </c>
      <c r="C102" s="3" t="s">
        <v>329</v>
      </c>
      <c r="D102" s="5" t="s">
        <v>331</v>
      </c>
      <c r="E102" s="6"/>
      <c r="F102" s="6"/>
      <c r="G102" s="6"/>
      <c r="H102" s="6"/>
      <c r="I102" s="6"/>
      <c r="J102" s="3" t="str">
        <f t="shared" si="6"/>
        <v/>
      </c>
      <c r="K102" s="3" t="str">
        <f t="shared" si="7"/>
        <v/>
      </c>
      <c r="L102" s="5"/>
    </row>
    <row r="103" spans="1:12" ht="105" x14ac:dyDescent="0.25">
      <c r="A103" s="3">
        <v>102</v>
      </c>
      <c r="B103" s="3" t="s">
        <v>155</v>
      </c>
      <c r="C103" s="3" t="s">
        <v>332</v>
      </c>
      <c r="D103" s="5" t="s">
        <v>333</v>
      </c>
      <c r="E103" s="6"/>
      <c r="F103" s="6"/>
      <c r="G103" s="6"/>
      <c r="H103" s="6"/>
      <c r="I103" s="6"/>
      <c r="J103" s="3" t="str">
        <f t="shared" si="6"/>
        <v/>
      </c>
      <c r="K103" s="3" t="str">
        <f t="shared" si="7"/>
        <v/>
      </c>
      <c r="L103" s="5"/>
    </row>
    <row r="104" spans="1:12" ht="90" x14ac:dyDescent="0.25">
      <c r="A104" s="3">
        <v>103</v>
      </c>
      <c r="B104" s="3" t="s">
        <v>166</v>
      </c>
      <c r="C104" s="3" t="s">
        <v>334</v>
      </c>
      <c r="D104" s="5" t="s">
        <v>335</v>
      </c>
      <c r="E104" s="6"/>
      <c r="F104" s="6"/>
      <c r="G104" s="6"/>
      <c r="H104" s="6"/>
      <c r="I104" s="6"/>
      <c r="J104" s="3" t="str">
        <f t="shared" si="6"/>
        <v/>
      </c>
      <c r="K104" s="3" t="str">
        <f t="shared" si="7"/>
        <v/>
      </c>
      <c r="L104" s="5"/>
    </row>
    <row r="105" spans="1:12" ht="90" x14ac:dyDescent="0.25">
      <c r="A105" s="3">
        <v>104</v>
      </c>
      <c r="B105" s="3" t="s">
        <v>166</v>
      </c>
      <c r="C105" s="3" t="s">
        <v>334</v>
      </c>
      <c r="D105" s="5" t="s">
        <v>336</v>
      </c>
      <c r="E105" s="6"/>
      <c r="F105" s="6"/>
      <c r="G105" s="6"/>
      <c r="H105" s="6"/>
      <c r="I105" s="6"/>
      <c r="J105" s="3" t="str">
        <f t="shared" si="6"/>
        <v/>
      </c>
      <c r="K105" s="3" t="str">
        <f t="shared" si="7"/>
        <v/>
      </c>
      <c r="L105" s="5"/>
    </row>
    <row r="106" spans="1:12" ht="75" x14ac:dyDescent="0.25">
      <c r="A106" s="3">
        <v>105</v>
      </c>
      <c r="B106" s="3" t="s">
        <v>166</v>
      </c>
      <c r="C106" s="3" t="s">
        <v>334</v>
      </c>
      <c r="D106" s="5" t="s">
        <v>337</v>
      </c>
      <c r="E106" s="6"/>
      <c r="F106" s="6"/>
      <c r="G106" s="6"/>
      <c r="H106" s="6"/>
      <c r="I106" s="6"/>
      <c r="J106" s="3" t="str">
        <f t="shared" si="6"/>
        <v/>
      </c>
      <c r="K106" s="3" t="str">
        <f t="shared" si="7"/>
        <v/>
      </c>
      <c r="L106" s="5"/>
    </row>
    <row r="107" spans="1:12" ht="75" x14ac:dyDescent="0.25">
      <c r="A107" s="3">
        <v>106</v>
      </c>
      <c r="B107" s="3" t="s">
        <v>166</v>
      </c>
      <c r="C107" s="3" t="s">
        <v>334</v>
      </c>
      <c r="D107" s="5" t="s">
        <v>338</v>
      </c>
      <c r="E107" s="6"/>
      <c r="F107" s="6"/>
      <c r="G107" s="6"/>
      <c r="H107" s="6"/>
      <c r="I107" s="6"/>
      <c r="J107" s="3" t="str">
        <f t="shared" si="6"/>
        <v/>
      </c>
      <c r="K107" s="3" t="str">
        <f t="shared" si="7"/>
        <v/>
      </c>
      <c r="L107" s="5"/>
    </row>
    <row r="108" spans="1:12" ht="120" x14ac:dyDescent="0.25">
      <c r="A108" s="3">
        <v>107</v>
      </c>
      <c r="B108" s="3" t="s">
        <v>166</v>
      </c>
      <c r="C108" s="3" t="s">
        <v>339</v>
      </c>
      <c r="D108" s="5" t="s">
        <v>340</v>
      </c>
      <c r="E108" s="6"/>
      <c r="F108" s="6"/>
      <c r="G108" s="6"/>
      <c r="H108" s="6"/>
      <c r="I108" s="6"/>
      <c r="J108" s="3" t="str">
        <f t="shared" si="6"/>
        <v/>
      </c>
      <c r="K108" s="3" t="str">
        <f t="shared" si="7"/>
        <v/>
      </c>
      <c r="L108" s="5"/>
    </row>
    <row r="109" spans="1:12" ht="120" x14ac:dyDescent="0.25">
      <c r="A109" s="3">
        <v>108</v>
      </c>
      <c r="B109" s="3" t="s">
        <v>166</v>
      </c>
      <c r="C109" s="3" t="s">
        <v>339</v>
      </c>
      <c r="D109" s="5" t="s">
        <v>341</v>
      </c>
      <c r="E109" s="6"/>
      <c r="F109" s="6"/>
      <c r="G109" s="6"/>
      <c r="H109" s="6"/>
      <c r="I109" s="6"/>
      <c r="J109" s="3" t="str">
        <f t="shared" si="6"/>
        <v/>
      </c>
      <c r="K109" s="3" t="str">
        <f t="shared" si="7"/>
        <v/>
      </c>
      <c r="L109" s="5"/>
    </row>
    <row r="110" spans="1:12" ht="105" x14ac:dyDescent="0.25">
      <c r="A110" s="3">
        <v>109</v>
      </c>
      <c r="B110" s="3" t="s">
        <v>166</v>
      </c>
      <c r="C110" s="3" t="s">
        <v>339</v>
      </c>
      <c r="D110" s="5" t="s">
        <v>342</v>
      </c>
      <c r="E110" s="6"/>
      <c r="F110" s="6"/>
      <c r="G110" s="6"/>
      <c r="H110" s="6"/>
      <c r="I110" s="6"/>
      <c r="J110" s="3" t="str">
        <f t="shared" si="6"/>
        <v/>
      </c>
      <c r="K110" s="3" t="str">
        <f t="shared" si="7"/>
        <v/>
      </c>
      <c r="L110" s="5"/>
    </row>
    <row r="111" spans="1:12" ht="90" x14ac:dyDescent="0.25">
      <c r="A111" s="3">
        <v>110</v>
      </c>
      <c r="B111" s="3" t="s">
        <v>166</v>
      </c>
      <c r="C111" s="3" t="s">
        <v>343</v>
      </c>
      <c r="D111" s="5" t="s">
        <v>344</v>
      </c>
      <c r="E111" s="6"/>
      <c r="F111" s="6"/>
      <c r="G111" s="6"/>
      <c r="H111" s="6"/>
      <c r="I111" s="6"/>
      <c r="J111" s="3" t="str">
        <f t="shared" si="6"/>
        <v/>
      </c>
      <c r="K111" s="3" t="str">
        <f t="shared" si="7"/>
        <v/>
      </c>
      <c r="L111" s="5"/>
    </row>
    <row r="112" spans="1:12" ht="105" x14ac:dyDescent="0.25">
      <c r="A112" s="3">
        <v>111</v>
      </c>
      <c r="B112" s="3" t="s">
        <v>166</v>
      </c>
      <c r="C112" s="3" t="s">
        <v>343</v>
      </c>
      <c r="D112" s="5" t="s">
        <v>345</v>
      </c>
      <c r="E112" s="6"/>
      <c r="F112" s="6"/>
      <c r="G112" s="6"/>
      <c r="H112" s="6"/>
      <c r="I112" s="6"/>
      <c r="J112" s="3" t="str">
        <f t="shared" si="6"/>
        <v/>
      </c>
      <c r="K112" s="3" t="str">
        <f t="shared" si="7"/>
        <v/>
      </c>
      <c r="L1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2"/>
  <sheetViews>
    <sheetView showGridLines="0" tabSelected="1" workbookViewId="0">
      <pane ySplit="1" topLeftCell="A2" activePane="bottomLeft" state="frozen"/>
      <selection pane="bottomLeft" activeCell="I3" sqref="I3"/>
    </sheetView>
  </sheetViews>
  <sheetFormatPr defaultRowHeight="15" x14ac:dyDescent="0.25"/>
  <cols>
    <col min="1" max="1" width="6" customWidth="1"/>
    <col min="2" max="2" width="20" customWidth="1"/>
    <col min="3" max="3" width="30" customWidth="1"/>
    <col min="4" max="4" width="70" customWidth="1"/>
    <col min="5" max="5" width="11.42578125" bestFit="1" customWidth="1"/>
    <col min="6" max="6" width="10.140625" bestFit="1" customWidth="1"/>
    <col min="7" max="8" width="10" customWidth="1"/>
    <col min="9" max="10" width="9" customWidth="1"/>
    <col min="11" max="11" width="8" customWidth="1"/>
    <col min="12" max="12" width="14" customWidth="1"/>
  </cols>
  <sheetData>
    <row r="1" spans="1:12" x14ac:dyDescent="0.25">
      <c r="A1" s="2" t="s">
        <v>33</v>
      </c>
      <c r="B1" s="2" t="s">
        <v>34</v>
      </c>
      <c r="C1" s="2" t="s">
        <v>35</v>
      </c>
      <c r="D1" s="2" t="s">
        <v>36</v>
      </c>
      <c r="E1" s="2" t="s">
        <v>37</v>
      </c>
      <c r="F1" s="2" t="s">
        <v>38</v>
      </c>
      <c r="G1" s="2" t="s">
        <v>39</v>
      </c>
      <c r="H1" s="2" t="s">
        <v>40</v>
      </c>
      <c r="I1" s="2" t="s">
        <v>41</v>
      </c>
      <c r="J1" s="2" t="s">
        <v>42</v>
      </c>
      <c r="K1" s="2" t="s">
        <v>43</v>
      </c>
      <c r="L1" s="2" t="s">
        <v>44</v>
      </c>
    </row>
    <row r="2" spans="1:12" ht="150" x14ac:dyDescent="0.25">
      <c r="A2" s="3">
        <v>1</v>
      </c>
      <c r="B2" s="3" t="s">
        <v>45</v>
      </c>
      <c r="C2" s="3" t="s">
        <v>177</v>
      </c>
      <c r="D2" s="5" t="s">
        <v>346</v>
      </c>
      <c r="E2" s="6"/>
      <c r="F2" s="6"/>
      <c r="G2" s="6"/>
      <c r="H2" s="6"/>
      <c r="I2" s="6"/>
      <c r="J2" s="3" t="str">
        <f t="shared" ref="J2:J33" si="0">IF(COUNT(E2:I2)=5,AVERAGE(E2:I2),"")</f>
        <v/>
      </c>
      <c r="K2" s="3" t="str">
        <f t="shared" ref="K2:K33" si="1">IF(J2="","",IF(J2&gt;=4,"Đạt","Không"))</f>
        <v/>
      </c>
      <c r="L2" s="5"/>
    </row>
    <row r="3" spans="1:12" ht="75" x14ac:dyDescent="0.25">
      <c r="A3" s="3">
        <v>2</v>
      </c>
      <c r="B3" s="3" t="s">
        <v>45</v>
      </c>
      <c r="C3" s="3" t="s">
        <v>177</v>
      </c>
      <c r="D3" s="5" t="s">
        <v>347</v>
      </c>
      <c r="E3" s="6"/>
      <c r="F3" s="6"/>
      <c r="G3" s="6"/>
      <c r="H3" s="6"/>
      <c r="I3" s="6"/>
      <c r="J3" s="3" t="str">
        <f t="shared" si="0"/>
        <v/>
      </c>
      <c r="K3" s="3" t="str">
        <f t="shared" si="1"/>
        <v/>
      </c>
      <c r="L3" s="5"/>
    </row>
    <row r="4" spans="1:12" ht="90" x14ac:dyDescent="0.25">
      <c r="A4" s="3">
        <v>3</v>
      </c>
      <c r="B4" s="3" t="s">
        <v>45</v>
      </c>
      <c r="C4" s="3" t="s">
        <v>180</v>
      </c>
      <c r="D4" s="5" t="s">
        <v>348</v>
      </c>
      <c r="E4" s="6"/>
      <c r="F4" s="6"/>
      <c r="G4" s="6"/>
      <c r="H4" s="6"/>
      <c r="I4" s="6"/>
      <c r="J4" s="3" t="str">
        <f t="shared" si="0"/>
        <v/>
      </c>
      <c r="K4" s="3" t="str">
        <f t="shared" si="1"/>
        <v/>
      </c>
      <c r="L4" s="5"/>
    </row>
    <row r="5" spans="1:12" ht="90" x14ac:dyDescent="0.25">
      <c r="A5" s="3">
        <v>4</v>
      </c>
      <c r="B5" s="3" t="s">
        <v>45</v>
      </c>
      <c r="C5" s="3" t="s">
        <v>182</v>
      </c>
      <c r="D5" s="5" t="s">
        <v>349</v>
      </c>
      <c r="E5" s="6"/>
      <c r="F5" s="6"/>
      <c r="G5" s="6"/>
      <c r="H5" s="6"/>
      <c r="I5" s="6"/>
      <c r="J5" s="3" t="str">
        <f t="shared" si="0"/>
        <v/>
      </c>
      <c r="K5" s="3" t="str">
        <f t="shared" si="1"/>
        <v/>
      </c>
      <c r="L5" s="5"/>
    </row>
    <row r="6" spans="1:12" ht="105" x14ac:dyDescent="0.25">
      <c r="A6" s="3">
        <v>5</v>
      </c>
      <c r="B6" s="3" t="s">
        <v>45</v>
      </c>
      <c r="C6" s="3" t="s">
        <v>184</v>
      </c>
      <c r="D6" s="5" t="s">
        <v>350</v>
      </c>
      <c r="E6" s="6"/>
      <c r="F6" s="6"/>
      <c r="G6" s="6"/>
      <c r="H6" s="6"/>
      <c r="I6" s="6"/>
      <c r="J6" s="3" t="str">
        <f t="shared" si="0"/>
        <v/>
      </c>
      <c r="K6" s="3" t="str">
        <f t="shared" si="1"/>
        <v/>
      </c>
      <c r="L6" s="5"/>
    </row>
    <row r="7" spans="1:12" ht="120" x14ac:dyDescent="0.25">
      <c r="A7" s="3">
        <v>6</v>
      </c>
      <c r="B7" s="3" t="s">
        <v>45</v>
      </c>
      <c r="C7" s="3" t="s">
        <v>184</v>
      </c>
      <c r="D7" s="5" t="s">
        <v>351</v>
      </c>
      <c r="E7" s="6"/>
      <c r="F7" s="6"/>
      <c r="G7" s="6"/>
      <c r="H7" s="6"/>
      <c r="I7" s="6"/>
      <c r="J7" s="3" t="str">
        <f t="shared" si="0"/>
        <v/>
      </c>
      <c r="K7" s="3" t="str">
        <f t="shared" si="1"/>
        <v/>
      </c>
      <c r="L7" s="5"/>
    </row>
    <row r="8" spans="1:12" ht="105" x14ac:dyDescent="0.25">
      <c r="A8" s="3">
        <v>7</v>
      </c>
      <c r="B8" s="3" t="s">
        <v>45</v>
      </c>
      <c r="C8" s="3" t="s">
        <v>187</v>
      </c>
      <c r="D8" s="5" t="s">
        <v>352</v>
      </c>
      <c r="E8" s="6"/>
      <c r="F8" s="6"/>
      <c r="G8" s="6"/>
      <c r="H8" s="6"/>
      <c r="I8" s="6"/>
      <c r="J8" s="3" t="str">
        <f t="shared" si="0"/>
        <v/>
      </c>
      <c r="K8" s="3" t="str">
        <f t="shared" si="1"/>
        <v/>
      </c>
      <c r="L8" s="5"/>
    </row>
    <row r="9" spans="1:12" ht="90" x14ac:dyDescent="0.25">
      <c r="A9" s="3">
        <v>8</v>
      </c>
      <c r="B9" s="3" t="s">
        <v>45</v>
      </c>
      <c r="C9" s="3" t="s">
        <v>189</v>
      </c>
      <c r="D9" s="5" t="s">
        <v>353</v>
      </c>
      <c r="E9" s="6"/>
      <c r="F9" s="6"/>
      <c r="G9" s="6"/>
      <c r="H9" s="6"/>
      <c r="I9" s="6"/>
      <c r="J9" s="3" t="str">
        <f t="shared" si="0"/>
        <v/>
      </c>
      <c r="K9" s="3" t="str">
        <f t="shared" si="1"/>
        <v/>
      </c>
      <c r="L9" s="5"/>
    </row>
    <row r="10" spans="1:12" ht="90" x14ac:dyDescent="0.25">
      <c r="A10" s="3">
        <v>9</v>
      </c>
      <c r="B10" s="3" t="s">
        <v>45</v>
      </c>
      <c r="C10" s="3" t="s">
        <v>191</v>
      </c>
      <c r="D10" s="5" t="s">
        <v>354</v>
      </c>
      <c r="E10" s="6"/>
      <c r="F10" s="6"/>
      <c r="G10" s="6"/>
      <c r="H10" s="6"/>
      <c r="I10" s="6"/>
      <c r="J10" s="3" t="str">
        <f t="shared" si="0"/>
        <v/>
      </c>
      <c r="K10" s="3" t="str">
        <f t="shared" si="1"/>
        <v/>
      </c>
      <c r="L10" s="5"/>
    </row>
    <row r="11" spans="1:12" ht="90" x14ac:dyDescent="0.25">
      <c r="A11" s="3">
        <v>10</v>
      </c>
      <c r="B11" s="3" t="s">
        <v>45</v>
      </c>
      <c r="C11" s="3" t="s">
        <v>193</v>
      </c>
      <c r="D11" s="5" t="s">
        <v>355</v>
      </c>
      <c r="E11" s="6"/>
      <c r="F11" s="6"/>
      <c r="G11" s="6"/>
      <c r="H11" s="6"/>
      <c r="I11" s="6"/>
      <c r="J11" s="3" t="str">
        <f t="shared" si="0"/>
        <v/>
      </c>
      <c r="K11" s="3" t="str">
        <f t="shared" si="1"/>
        <v/>
      </c>
      <c r="L11" s="5"/>
    </row>
    <row r="12" spans="1:12" ht="90" x14ac:dyDescent="0.25">
      <c r="A12" s="3">
        <v>11</v>
      </c>
      <c r="B12" s="3" t="s">
        <v>56</v>
      </c>
      <c r="C12" s="3" t="s">
        <v>195</v>
      </c>
      <c r="D12" s="5" t="s">
        <v>356</v>
      </c>
      <c r="E12" s="6"/>
      <c r="F12" s="6"/>
      <c r="G12" s="6"/>
      <c r="H12" s="6"/>
      <c r="I12" s="6"/>
      <c r="J12" s="3" t="str">
        <f t="shared" si="0"/>
        <v/>
      </c>
      <c r="K12" s="3" t="str">
        <f t="shared" si="1"/>
        <v/>
      </c>
      <c r="L12" s="5"/>
    </row>
    <row r="13" spans="1:12" ht="90" x14ac:dyDescent="0.25">
      <c r="A13" s="3">
        <v>12</v>
      </c>
      <c r="B13" s="3" t="s">
        <v>56</v>
      </c>
      <c r="C13" s="3" t="s">
        <v>195</v>
      </c>
      <c r="D13" s="5" t="s">
        <v>357</v>
      </c>
      <c r="E13" s="6"/>
      <c r="F13" s="6"/>
      <c r="G13" s="6"/>
      <c r="H13" s="6"/>
      <c r="I13" s="6"/>
      <c r="J13" s="3" t="str">
        <f t="shared" si="0"/>
        <v/>
      </c>
      <c r="K13" s="3" t="str">
        <f t="shared" si="1"/>
        <v/>
      </c>
      <c r="L13" s="5"/>
    </row>
    <row r="14" spans="1:12" ht="90" x14ac:dyDescent="0.25">
      <c r="A14" s="3">
        <v>13</v>
      </c>
      <c r="B14" s="3" t="s">
        <v>56</v>
      </c>
      <c r="C14" s="3" t="s">
        <v>198</v>
      </c>
      <c r="D14" s="5" t="s">
        <v>358</v>
      </c>
      <c r="E14" s="6"/>
      <c r="F14" s="6"/>
      <c r="G14" s="6"/>
      <c r="H14" s="6"/>
      <c r="I14" s="6"/>
      <c r="J14" s="3" t="str">
        <f t="shared" si="0"/>
        <v/>
      </c>
      <c r="K14" s="3" t="str">
        <f t="shared" si="1"/>
        <v/>
      </c>
      <c r="L14" s="5"/>
    </row>
    <row r="15" spans="1:12" ht="120" x14ac:dyDescent="0.25">
      <c r="A15" s="3">
        <v>14</v>
      </c>
      <c r="B15" s="3" t="s">
        <v>56</v>
      </c>
      <c r="C15" s="3" t="s">
        <v>200</v>
      </c>
      <c r="D15" s="5" t="s">
        <v>359</v>
      </c>
      <c r="E15" s="6"/>
      <c r="F15" s="6"/>
      <c r="G15" s="6"/>
      <c r="H15" s="6"/>
      <c r="I15" s="6"/>
      <c r="J15" s="3" t="str">
        <f t="shared" si="0"/>
        <v/>
      </c>
      <c r="K15" s="3" t="str">
        <f t="shared" si="1"/>
        <v/>
      </c>
      <c r="L15" s="5"/>
    </row>
    <row r="16" spans="1:12" ht="105" x14ac:dyDescent="0.25">
      <c r="A16" s="3">
        <v>15</v>
      </c>
      <c r="B16" s="3" t="s">
        <v>56</v>
      </c>
      <c r="C16" s="3" t="s">
        <v>200</v>
      </c>
      <c r="D16" s="5" t="s">
        <v>360</v>
      </c>
      <c r="E16" s="6"/>
      <c r="F16" s="6"/>
      <c r="G16" s="6"/>
      <c r="H16" s="6"/>
      <c r="I16" s="6"/>
      <c r="J16" s="3" t="str">
        <f t="shared" si="0"/>
        <v/>
      </c>
      <c r="K16" s="3" t="str">
        <f t="shared" si="1"/>
        <v/>
      </c>
      <c r="L16" s="5"/>
    </row>
    <row r="17" spans="1:12" ht="105" x14ac:dyDescent="0.25">
      <c r="A17" s="3">
        <v>16</v>
      </c>
      <c r="B17" s="3" t="s">
        <v>56</v>
      </c>
      <c r="C17" s="3" t="s">
        <v>200</v>
      </c>
      <c r="D17" s="5" t="s">
        <v>361</v>
      </c>
      <c r="E17" s="6"/>
      <c r="F17" s="6"/>
      <c r="G17" s="6"/>
      <c r="H17" s="6"/>
      <c r="I17" s="6"/>
      <c r="J17" s="3" t="str">
        <f t="shared" si="0"/>
        <v/>
      </c>
      <c r="K17" s="3" t="str">
        <f t="shared" si="1"/>
        <v/>
      </c>
      <c r="L17" s="5"/>
    </row>
    <row r="18" spans="1:12" ht="90" x14ac:dyDescent="0.25">
      <c r="A18" s="3">
        <v>17</v>
      </c>
      <c r="B18" s="3" t="s">
        <v>56</v>
      </c>
      <c r="C18" s="3" t="s">
        <v>204</v>
      </c>
      <c r="D18" s="5" t="s">
        <v>362</v>
      </c>
      <c r="E18" s="6"/>
      <c r="F18" s="6"/>
      <c r="G18" s="6"/>
      <c r="H18" s="6"/>
      <c r="I18" s="6"/>
      <c r="J18" s="3" t="str">
        <f t="shared" si="0"/>
        <v/>
      </c>
      <c r="K18" s="3" t="str">
        <f t="shared" si="1"/>
        <v/>
      </c>
      <c r="L18" s="5"/>
    </row>
    <row r="19" spans="1:12" ht="90" x14ac:dyDescent="0.25">
      <c r="A19" s="3">
        <v>18</v>
      </c>
      <c r="B19" s="3" t="s">
        <v>56</v>
      </c>
      <c r="C19" s="3" t="s">
        <v>204</v>
      </c>
      <c r="D19" s="5" t="s">
        <v>363</v>
      </c>
      <c r="E19" s="6"/>
      <c r="F19" s="6"/>
      <c r="G19" s="6"/>
      <c r="H19" s="6"/>
      <c r="I19" s="6"/>
      <c r="J19" s="3" t="str">
        <f t="shared" si="0"/>
        <v/>
      </c>
      <c r="K19" s="3" t="str">
        <f t="shared" si="1"/>
        <v/>
      </c>
      <c r="L19" s="5"/>
    </row>
    <row r="20" spans="1:12" ht="135" x14ac:dyDescent="0.25">
      <c r="A20" s="3">
        <v>19</v>
      </c>
      <c r="B20" s="3" t="s">
        <v>56</v>
      </c>
      <c r="C20" s="3" t="s">
        <v>207</v>
      </c>
      <c r="D20" s="5" t="s">
        <v>364</v>
      </c>
      <c r="E20" s="6"/>
      <c r="F20" s="6"/>
      <c r="G20" s="6"/>
      <c r="H20" s="6"/>
      <c r="I20" s="6"/>
      <c r="J20" s="3" t="str">
        <f t="shared" si="0"/>
        <v/>
      </c>
      <c r="K20" s="3" t="str">
        <f t="shared" si="1"/>
        <v/>
      </c>
      <c r="L20" s="5"/>
    </row>
    <row r="21" spans="1:12" ht="105" x14ac:dyDescent="0.25">
      <c r="A21" s="3">
        <v>20</v>
      </c>
      <c r="B21" s="3" t="s">
        <v>56</v>
      </c>
      <c r="C21" s="3" t="s">
        <v>209</v>
      </c>
      <c r="D21" s="5" t="s">
        <v>365</v>
      </c>
      <c r="E21" s="6"/>
      <c r="F21" s="6"/>
      <c r="G21" s="6"/>
      <c r="H21" s="6"/>
      <c r="I21" s="6"/>
      <c r="J21" s="3" t="str">
        <f t="shared" si="0"/>
        <v/>
      </c>
      <c r="K21" s="3" t="str">
        <f t="shared" si="1"/>
        <v/>
      </c>
      <c r="L21" s="5"/>
    </row>
    <row r="22" spans="1:12" ht="90" x14ac:dyDescent="0.25">
      <c r="A22" s="3">
        <v>21</v>
      </c>
      <c r="B22" s="3" t="s">
        <v>67</v>
      </c>
      <c r="C22" s="3" t="s">
        <v>211</v>
      </c>
      <c r="D22" s="5" t="s">
        <v>366</v>
      </c>
      <c r="E22" s="6"/>
      <c r="F22" s="6"/>
      <c r="G22" s="6"/>
      <c r="H22" s="6"/>
      <c r="I22" s="6"/>
      <c r="J22" s="3" t="str">
        <f t="shared" si="0"/>
        <v/>
      </c>
      <c r="K22" s="3" t="str">
        <f t="shared" si="1"/>
        <v/>
      </c>
      <c r="L22" s="5"/>
    </row>
    <row r="23" spans="1:12" ht="90" x14ac:dyDescent="0.25">
      <c r="A23" s="3">
        <v>22</v>
      </c>
      <c r="B23" s="3" t="s">
        <v>67</v>
      </c>
      <c r="C23" s="3" t="s">
        <v>211</v>
      </c>
      <c r="D23" s="5" t="s">
        <v>367</v>
      </c>
      <c r="E23" s="6"/>
      <c r="F23" s="6"/>
      <c r="G23" s="6"/>
      <c r="H23" s="6"/>
      <c r="I23" s="6"/>
      <c r="J23" s="3" t="str">
        <f t="shared" si="0"/>
        <v/>
      </c>
      <c r="K23" s="3" t="str">
        <f t="shared" si="1"/>
        <v/>
      </c>
      <c r="L23" s="5"/>
    </row>
    <row r="24" spans="1:12" ht="120" x14ac:dyDescent="0.25">
      <c r="A24" s="3">
        <v>23</v>
      </c>
      <c r="B24" s="3" t="s">
        <v>67</v>
      </c>
      <c r="C24" s="3" t="s">
        <v>214</v>
      </c>
      <c r="D24" s="5" t="s">
        <v>368</v>
      </c>
      <c r="E24" s="6"/>
      <c r="F24" s="6"/>
      <c r="G24" s="6"/>
      <c r="H24" s="6"/>
      <c r="I24" s="6"/>
      <c r="J24" s="3" t="str">
        <f t="shared" si="0"/>
        <v/>
      </c>
      <c r="K24" s="3" t="str">
        <f t="shared" si="1"/>
        <v/>
      </c>
      <c r="L24" s="5"/>
    </row>
    <row r="25" spans="1:12" ht="105" x14ac:dyDescent="0.25">
      <c r="A25" s="3">
        <v>24</v>
      </c>
      <c r="B25" s="3" t="s">
        <v>67</v>
      </c>
      <c r="C25" s="3" t="s">
        <v>216</v>
      </c>
      <c r="D25" s="5" t="s">
        <v>369</v>
      </c>
      <c r="E25" s="6"/>
      <c r="F25" s="6"/>
      <c r="G25" s="6"/>
      <c r="H25" s="6"/>
      <c r="I25" s="6"/>
      <c r="J25" s="3" t="str">
        <f t="shared" si="0"/>
        <v/>
      </c>
      <c r="K25" s="3" t="str">
        <f t="shared" si="1"/>
        <v/>
      </c>
      <c r="L25" s="5"/>
    </row>
    <row r="26" spans="1:12" ht="90" x14ac:dyDescent="0.25">
      <c r="A26" s="3">
        <v>25</v>
      </c>
      <c r="B26" s="3" t="s">
        <v>67</v>
      </c>
      <c r="C26" s="3" t="s">
        <v>218</v>
      </c>
      <c r="D26" s="5" t="s">
        <v>370</v>
      </c>
      <c r="E26" s="6"/>
      <c r="F26" s="6"/>
      <c r="G26" s="6"/>
      <c r="H26" s="6"/>
      <c r="I26" s="6"/>
      <c r="J26" s="3" t="str">
        <f t="shared" si="0"/>
        <v/>
      </c>
      <c r="K26" s="3" t="str">
        <f t="shared" si="1"/>
        <v/>
      </c>
      <c r="L26" s="5"/>
    </row>
    <row r="27" spans="1:12" ht="90" x14ac:dyDescent="0.25">
      <c r="A27" s="3">
        <v>26</v>
      </c>
      <c r="B27" s="3" t="s">
        <v>67</v>
      </c>
      <c r="C27" s="3" t="s">
        <v>218</v>
      </c>
      <c r="D27" s="5" t="s">
        <v>371</v>
      </c>
      <c r="E27" s="6"/>
      <c r="F27" s="6"/>
      <c r="G27" s="6"/>
      <c r="H27" s="6"/>
      <c r="I27" s="6"/>
      <c r="J27" s="3" t="str">
        <f t="shared" si="0"/>
        <v/>
      </c>
      <c r="K27" s="3" t="str">
        <f t="shared" si="1"/>
        <v/>
      </c>
      <c r="L27" s="5"/>
    </row>
    <row r="28" spans="1:12" ht="90" x14ac:dyDescent="0.25">
      <c r="A28" s="3">
        <v>27</v>
      </c>
      <c r="B28" s="3" t="s">
        <v>67</v>
      </c>
      <c r="C28" s="3" t="s">
        <v>221</v>
      </c>
      <c r="D28" s="5" t="s">
        <v>372</v>
      </c>
      <c r="E28" s="6"/>
      <c r="F28" s="6"/>
      <c r="G28" s="6"/>
      <c r="H28" s="6"/>
      <c r="I28" s="6"/>
      <c r="J28" s="3" t="str">
        <f t="shared" si="0"/>
        <v/>
      </c>
      <c r="K28" s="3" t="str">
        <f t="shared" si="1"/>
        <v/>
      </c>
      <c r="L28" s="5"/>
    </row>
    <row r="29" spans="1:12" ht="120" x14ac:dyDescent="0.25">
      <c r="A29" s="3">
        <v>28</v>
      </c>
      <c r="B29" s="3" t="s">
        <v>67</v>
      </c>
      <c r="C29" s="3" t="s">
        <v>223</v>
      </c>
      <c r="D29" s="5" t="s">
        <v>373</v>
      </c>
      <c r="E29" s="6"/>
      <c r="F29" s="6"/>
      <c r="G29" s="6"/>
      <c r="H29" s="6"/>
      <c r="I29" s="6"/>
      <c r="J29" s="3" t="str">
        <f t="shared" si="0"/>
        <v/>
      </c>
      <c r="K29" s="3" t="str">
        <f t="shared" si="1"/>
        <v/>
      </c>
      <c r="L29" s="5"/>
    </row>
    <row r="30" spans="1:12" ht="105" x14ac:dyDescent="0.25">
      <c r="A30" s="3">
        <v>29</v>
      </c>
      <c r="B30" s="3" t="s">
        <v>67</v>
      </c>
      <c r="C30" s="3" t="s">
        <v>225</v>
      </c>
      <c r="D30" s="5" t="s">
        <v>374</v>
      </c>
      <c r="E30" s="6"/>
      <c r="F30" s="6"/>
      <c r="G30" s="6"/>
      <c r="H30" s="6"/>
      <c r="I30" s="6"/>
      <c r="J30" s="3" t="str">
        <f t="shared" si="0"/>
        <v/>
      </c>
      <c r="K30" s="3" t="str">
        <f t="shared" si="1"/>
        <v/>
      </c>
      <c r="L30" s="5"/>
    </row>
    <row r="31" spans="1:12" ht="90" x14ac:dyDescent="0.25">
      <c r="A31" s="3">
        <v>30</v>
      </c>
      <c r="B31" s="3" t="s">
        <v>67</v>
      </c>
      <c r="C31" s="3" t="s">
        <v>225</v>
      </c>
      <c r="D31" s="5" t="s">
        <v>375</v>
      </c>
      <c r="E31" s="6"/>
      <c r="F31" s="6"/>
      <c r="G31" s="6"/>
      <c r="H31" s="6"/>
      <c r="I31" s="6"/>
      <c r="J31" s="3" t="str">
        <f t="shared" si="0"/>
        <v/>
      </c>
      <c r="K31" s="3" t="str">
        <f t="shared" si="1"/>
        <v/>
      </c>
      <c r="L31" s="5"/>
    </row>
    <row r="32" spans="1:12" ht="180" x14ac:dyDescent="0.25">
      <c r="A32" s="3">
        <v>31</v>
      </c>
      <c r="B32" s="3" t="s">
        <v>78</v>
      </c>
      <c r="C32" s="3" t="s">
        <v>228</v>
      </c>
      <c r="D32" s="5" t="s">
        <v>376</v>
      </c>
      <c r="E32" s="6"/>
      <c r="F32" s="6"/>
      <c r="G32" s="6"/>
      <c r="H32" s="6"/>
      <c r="I32" s="6"/>
      <c r="J32" s="3" t="str">
        <f t="shared" si="0"/>
        <v/>
      </c>
      <c r="K32" s="3" t="str">
        <f t="shared" si="1"/>
        <v/>
      </c>
      <c r="L32" s="5"/>
    </row>
    <row r="33" spans="1:12" ht="150" x14ac:dyDescent="0.25">
      <c r="A33" s="3">
        <v>32</v>
      </c>
      <c r="B33" s="3" t="s">
        <v>78</v>
      </c>
      <c r="C33" s="3" t="s">
        <v>228</v>
      </c>
      <c r="D33" s="5" t="s">
        <v>377</v>
      </c>
      <c r="E33" s="6"/>
      <c r="F33" s="6"/>
      <c r="G33" s="6"/>
      <c r="H33" s="6"/>
      <c r="I33" s="6"/>
      <c r="J33" s="3" t="str">
        <f t="shared" si="0"/>
        <v/>
      </c>
      <c r="K33" s="3" t="str">
        <f t="shared" si="1"/>
        <v/>
      </c>
      <c r="L33" s="5"/>
    </row>
    <row r="34" spans="1:12" ht="165" x14ac:dyDescent="0.25">
      <c r="A34" s="3">
        <v>33</v>
      </c>
      <c r="B34" s="3" t="s">
        <v>78</v>
      </c>
      <c r="C34" s="3" t="s">
        <v>228</v>
      </c>
      <c r="D34" s="5" t="s">
        <v>378</v>
      </c>
      <c r="E34" s="6"/>
      <c r="F34" s="6"/>
      <c r="G34" s="6"/>
      <c r="H34" s="6"/>
      <c r="I34" s="6"/>
      <c r="J34" s="3" t="str">
        <f t="shared" ref="J34:J65" si="2">IF(COUNT(E34:I34)=5,AVERAGE(E34:I34),"")</f>
        <v/>
      </c>
      <c r="K34" s="3" t="str">
        <f t="shared" ref="K34:K65" si="3">IF(J34="","",IF(J34&gt;=4,"Đạt","Không"))</f>
        <v/>
      </c>
      <c r="L34" s="5"/>
    </row>
    <row r="35" spans="1:12" ht="105" x14ac:dyDescent="0.25">
      <c r="A35" s="3">
        <v>34</v>
      </c>
      <c r="B35" s="3" t="s">
        <v>78</v>
      </c>
      <c r="C35" s="3" t="s">
        <v>232</v>
      </c>
      <c r="D35" s="5" t="s">
        <v>379</v>
      </c>
      <c r="E35" s="6"/>
      <c r="F35" s="6"/>
      <c r="G35" s="6"/>
      <c r="H35" s="6"/>
      <c r="I35" s="6"/>
      <c r="J35" s="3" t="str">
        <f t="shared" si="2"/>
        <v/>
      </c>
      <c r="K35" s="3" t="str">
        <f t="shared" si="3"/>
        <v/>
      </c>
      <c r="L35" s="5"/>
    </row>
    <row r="36" spans="1:12" ht="105" x14ac:dyDescent="0.25">
      <c r="A36" s="3">
        <v>35</v>
      </c>
      <c r="B36" s="3" t="s">
        <v>78</v>
      </c>
      <c r="C36" s="3" t="s">
        <v>232</v>
      </c>
      <c r="D36" s="5" t="s">
        <v>380</v>
      </c>
      <c r="E36" s="6"/>
      <c r="F36" s="6"/>
      <c r="G36" s="6"/>
      <c r="H36" s="6"/>
      <c r="I36" s="6"/>
      <c r="J36" s="3" t="str">
        <f t="shared" si="2"/>
        <v/>
      </c>
      <c r="K36" s="3" t="str">
        <f t="shared" si="3"/>
        <v/>
      </c>
      <c r="L36" s="5"/>
    </row>
    <row r="37" spans="1:12" ht="75" x14ac:dyDescent="0.25">
      <c r="A37" s="3">
        <v>36</v>
      </c>
      <c r="B37" s="3" t="s">
        <v>78</v>
      </c>
      <c r="C37" s="3" t="s">
        <v>235</v>
      </c>
      <c r="D37" s="5" t="s">
        <v>381</v>
      </c>
      <c r="E37" s="6"/>
      <c r="F37" s="6"/>
      <c r="G37" s="6"/>
      <c r="H37" s="6"/>
      <c r="I37" s="6"/>
      <c r="J37" s="3" t="str">
        <f t="shared" si="2"/>
        <v/>
      </c>
      <c r="K37" s="3" t="str">
        <f t="shared" si="3"/>
        <v/>
      </c>
      <c r="L37" s="5"/>
    </row>
    <row r="38" spans="1:12" ht="90" x14ac:dyDescent="0.25">
      <c r="A38" s="3">
        <v>37</v>
      </c>
      <c r="B38" s="3" t="s">
        <v>78</v>
      </c>
      <c r="C38" s="3" t="s">
        <v>237</v>
      </c>
      <c r="D38" s="5" t="s">
        <v>382</v>
      </c>
      <c r="E38" s="6"/>
      <c r="F38" s="6"/>
      <c r="G38" s="6"/>
      <c r="H38" s="6"/>
      <c r="I38" s="6"/>
      <c r="J38" s="3" t="str">
        <f t="shared" si="2"/>
        <v/>
      </c>
      <c r="K38" s="3" t="str">
        <f t="shared" si="3"/>
        <v/>
      </c>
      <c r="L38" s="5"/>
    </row>
    <row r="39" spans="1:12" ht="90" x14ac:dyDescent="0.25">
      <c r="A39" s="3">
        <v>38</v>
      </c>
      <c r="B39" s="3" t="s">
        <v>78</v>
      </c>
      <c r="C39" s="3" t="s">
        <v>237</v>
      </c>
      <c r="D39" s="5" t="s">
        <v>383</v>
      </c>
      <c r="E39" s="6"/>
      <c r="F39" s="6"/>
      <c r="G39" s="6"/>
      <c r="H39" s="6"/>
      <c r="I39" s="6"/>
      <c r="J39" s="3" t="str">
        <f t="shared" si="2"/>
        <v/>
      </c>
      <c r="K39" s="3" t="str">
        <f t="shared" si="3"/>
        <v/>
      </c>
      <c r="L39" s="5"/>
    </row>
    <row r="40" spans="1:12" ht="90" x14ac:dyDescent="0.25">
      <c r="A40" s="3">
        <v>39</v>
      </c>
      <c r="B40" s="3" t="s">
        <v>78</v>
      </c>
      <c r="C40" s="3" t="s">
        <v>237</v>
      </c>
      <c r="D40" s="5" t="s">
        <v>384</v>
      </c>
      <c r="E40" s="6"/>
      <c r="F40" s="6"/>
      <c r="G40" s="6"/>
      <c r="H40" s="6"/>
      <c r="I40" s="6"/>
      <c r="J40" s="3" t="str">
        <f t="shared" si="2"/>
        <v/>
      </c>
      <c r="K40" s="3" t="str">
        <f t="shared" si="3"/>
        <v/>
      </c>
      <c r="L40" s="5"/>
    </row>
    <row r="41" spans="1:12" ht="105" x14ac:dyDescent="0.25">
      <c r="A41" s="3">
        <v>40</v>
      </c>
      <c r="B41" s="3" t="s">
        <v>78</v>
      </c>
      <c r="C41" s="3" t="s">
        <v>241</v>
      </c>
      <c r="D41" s="5" t="s">
        <v>385</v>
      </c>
      <c r="E41" s="6"/>
      <c r="F41" s="6"/>
      <c r="G41" s="6"/>
      <c r="H41" s="6"/>
      <c r="I41" s="6"/>
      <c r="J41" s="3" t="str">
        <f t="shared" si="2"/>
        <v/>
      </c>
      <c r="K41" s="3" t="str">
        <f t="shared" si="3"/>
        <v/>
      </c>
      <c r="L41" s="5"/>
    </row>
    <row r="42" spans="1:12" ht="90" x14ac:dyDescent="0.25">
      <c r="A42" s="3">
        <v>41</v>
      </c>
      <c r="B42" s="3" t="s">
        <v>89</v>
      </c>
      <c r="C42" s="3" t="s">
        <v>243</v>
      </c>
      <c r="D42" s="5" t="s">
        <v>386</v>
      </c>
      <c r="E42" s="6"/>
      <c r="F42" s="6"/>
      <c r="G42" s="6"/>
      <c r="H42" s="6"/>
      <c r="I42" s="6"/>
      <c r="J42" s="3" t="str">
        <f t="shared" si="2"/>
        <v/>
      </c>
      <c r="K42" s="3" t="str">
        <f t="shared" si="3"/>
        <v/>
      </c>
      <c r="L42" s="5"/>
    </row>
    <row r="43" spans="1:12" ht="90" x14ac:dyDescent="0.25">
      <c r="A43" s="3">
        <v>42</v>
      </c>
      <c r="B43" s="3" t="s">
        <v>89</v>
      </c>
      <c r="C43" s="3" t="s">
        <v>243</v>
      </c>
      <c r="D43" s="5" t="s">
        <v>387</v>
      </c>
      <c r="E43" s="6"/>
      <c r="F43" s="6"/>
      <c r="G43" s="6"/>
      <c r="H43" s="6"/>
      <c r="I43" s="6"/>
      <c r="J43" s="3" t="str">
        <f t="shared" si="2"/>
        <v/>
      </c>
      <c r="K43" s="3" t="str">
        <f t="shared" si="3"/>
        <v/>
      </c>
      <c r="L43" s="5"/>
    </row>
    <row r="44" spans="1:12" ht="90" x14ac:dyDescent="0.25">
      <c r="A44" s="3">
        <v>43</v>
      </c>
      <c r="B44" s="3" t="s">
        <v>89</v>
      </c>
      <c r="C44" s="3" t="s">
        <v>246</v>
      </c>
      <c r="D44" s="5" t="s">
        <v>388</v>
      </c>
      <c r="E44" s="6"/>
      <c r="F44" s="6"/>
      <c r="G44" s="6"/>
      <c r="H44" s="6"/>
      <c r="I44" s="6"/>
      <c r="J44" s="3" t="str">
        <f t="shared" si="2"/>
        <v/>
      </c>
      <c r="K44" s="3" t="str">
        <f t="shared" si="3"/>
        <v/>
      </c>
      <c r="L44" s="5"/>
    </row>
    <row r="45" spans="1:12" ht="90" x14ac:dyDescent="0.25">
      <c r="A45" s="3">
        <v>44</v>
      </c>
      <c r="B45" s="3" t="s">
        <v>89</v>
      </c>
      <c r="C45" s="3" t="s">
        <v>248</v>
      </c>
      <c r="D45" s="5" t="s">
        <v>389</v>
      </c>
      <c r="E45" s="6"/>
      <c r="F45" s="6"/>
      <c r="G45" s="6"/>
      <c r="H45" s="6"/>
      <c r="I45" s="6"/>
      <c r="J45" s="3" t="str">
        <f t="shared" si="2"/>
        <v/>
      </c>
      <c r="K45" s="3" t="str">
        <f t="shared" si="3"/>
        <v/>
      </c>
      <c r="L45" s="5"/>
    </row>
    <row r="46" spans="1:12" ht="105" x14ac:dyDescent="0.25">
      <c r="A46" s="3">
        <v>45</v>
      </c>
      <c r="B46" s="3" t="s">
        <v>89</v>
      </c>
      <c r="C46" s="3" t="s">
        <v>248</v>
      </c>
      <c r="D46" s="5" t="s">
        <v>390</v>
      </c>
      <c r="E46" s="6"/>
      <c r="F46" s="6"/>
      <c r="G46" s="6"/>
      <c r="H46" s="6"/>
      <c r="I46" s="6"/>
      <c r="J46" s="3" t="str">
        <f t="shared" si="2"/>
        <v/>
      </c>
      <c r="K46" s="3" t="str">
        <f t="shared" si="3"/>
        <v/>
      </c>
      <c r="L46" s="5"/>
    </row>
    <row r="47" spans="1:12" ht="90" x14ac:dyDescent="0.25">
      <c r="A47" s="3">
        <v>46</v>
      </c>
      <c r="B47" s="3" t="s">
        <v>89</v>
      </c>
      <c r="C47" s="3" t="s">
        <v>248</v>
      </c>
      <c r="D47" s="5" t="s">
        <v>391</v>
      </c>
      <c r="E47" s="6"/>
      <c r="F47" s="6"/>
      <c r="G47" s="6"/>
      <c r="H47" s="6"/>
      <c r="I47" s="6"/>
      <c r="J47" s="3" t="str">
        <f t="shared" si="2"/>
        <v/>
      </c>
      <c r="K47" s="3" t="str">
        <f t="shared" si="3"/>
        <v/>
      </c>
      <c r="L47" s="5"/>
    </row>
    <row r="48" spans="1:12" ht="120" x14ac:dyDescent="0.25">
      <c r="A48" s="3">
        <v>47</v>
      </c>
      <c r="B48" s="3" t="s">
        <v>89</v>
      </c>
      <c r="C48" s="3" t="s">
        <v>252</v>
      </c>
      <c r="D48" s="5" t="s">
        <v>392</v>
      </c>
      <c r="E48" s="6"/>
      <c r="F48" s="6"/>
      <c r="G48" s="6"/>
      <c r="H48" s="6"/>
      <c r="I48" s="6"/>
      <c r="J48" s="3" t="str">
        <f t="shared" si="2"/>
        <v/>
      </c>
      <c r="K48" s="3" t="str">
        <f t="shared" si="3"/>
        <v/>
      </c>
      <c r="L48" s="5"/>
    </row>
    <row r="49" spans="1:12" ht="90" x14ac:dyDescent="0.25">
      <c r="A49" s="3">
        <v>48</v>
      </c>
      <c r="B49" s="3" t="s">
        <v>89</v>
      </c>
      <c r="C49" s="3" t="s">
        <v>252</v>
      </c>
      <c r="D49" s="5" t="s">
        <v>393</v>
      </c>
      <c r="E49" s="6"/>
      <c r="F49" s="6"/>
      <c r="G49" s="6"/>
      <c r="H49" s="6"/>
      <c r="I49" s="6"/>
      <c r="J49" s="3" t="str">
        <f t="shared" si="2"/>
        <v/>
      </c>
      <c r="K49" s="3" t="str">
        <f t="shared" si="3"/>
        <v/>
      </c>
      <c r="L49" s="5"/>
    </row>
    <row r="50" spans="1:12" ht="90" x14ac:dyDescent="0.25">
      <c r="A50" s="3">
        <v>49</v>
      </c>
      <c r="B50" s="3" t="s">
        <v>89</v>
      </c>
      <c r="C50" s="3" t="s">
        <v>255</v>
      </c>
      <c r="D50" s="5" t="s">
        <v>394</v>
      </c>
      <c r="E50" s="6"/>
      <c r="F50" s="6"/>
      <c r="G50" s="6"/>
      <c r="H50" s="6"/>
      <c r="I50" s="6"/>
      <c r="J50" s="3" t="str">
        <f t="shared" si="2"/>
        <v/>
      </c>
      <c r="K50" s="3" t="str">
        <f t="shared" si="3"/>
        <v/>
      </c>
      <c r="L50" s="5"/>
    </row>
    <row r="51" spans="1:12" ht="105" x14ac:dyDescent="0.25">
      <c r="A51" s="3">
        <v>50</v>
      </c>
      <c r="B51" s="3" t="s">
        <v>89</v>
      </c>
      <c r="C51" s="3" t="s">
        <v>257</v>
      </c>
      <c r="D51" s="5" t="s">
        <v>395</v>
      </c>
      <c r="E51" s="6"/>
      <c r="F51" s="6"/>
      <c r="G51" s="6"/>
      <c r="H51" s="6"/>
      <c r="I51" s="6"/>
      <c r="J51" s="3" t="str">
        <f t="shared" si="2"/>
        <v/>
      </c>
      <c r="K51" s="3" t="str">
        <f t="shared" si="3"/>
        <v/>
      </c>
      <c r="L51" s="5"/>
    </row>
    <row r="52" spans="1:12" ht="90" x14ac:dyDescent="0.25">
      <c r="A52" s="3">
        <v>51</v>
      </c>
      <c r="B52" s="3" t="s">
        <v>100</v>
      </c>
      <c r="C52" s="3" t="s">
        <v>259</v>
      </c>
      <c r="D52" s="5" t="s">
        <v>396</v>
      </c>
      <c r="E52" s="6"/>
      <c r="F52" s="6"/>
      <c r="G52" s="6"/>
      <c r="H52" s="6"/>
      <c r="I52" s="6"/>
      <c r="J52" s="3" t="str">
        <f t="shared" si="2"/>
        <v/>
      </c>
      <c r="K52" s="3" t="str">
        <f t="shared" si="3"/>
        <v/>
      </c>
      <c r="L52" s="5"/>
    </row>
    <row r="53" spans="1:12" ht="90" x14ac:dyDescent="0.25">
      <c r="A53" s="3">
        <v>52</v>
      </c>
      <c r="B53" s="3" t="s">
        <v>100</v>
      </c>
      <c r="C53" s="3" t="s">
        <v>259</v>
      </c>
      <c r="D53" s="5" t="s">
        <v>397</v>
      </c>
      <c r="E53" s="6"/>
      <c r="F53" s="6"/>
      <c r="G53" s="6"/>
      <c r="H53" s="6"/>
      <c r="I53" s="6"/>
      <c r="J53" s="3" t="str">
        <f t="shared" si="2"/>
        <v/>
      </c>
      <c r="K53" s="3" t="str">
        <f t="shared" si="3"/>
        <v/>
      </c>
      <c r="L53" s="5"/>
    </row>
    <row r="54" spans="1:12" ht="75" x14ac:dyDescent="0.25">
      <c r="A54" s="3">
        <v>53</v>
      </c>
      <c r="B54" s="3" t="s">
        <v>100</v>
      </c>
      <c r="C54" s="3" t="s">
        <v>259</v>
      </c>
      <c r="D54" s="5" t="s">
        <v>398</v>
      </c>
      <c r="E54" s="6"/>
      <c r="F54" s="6"/>
      <c r="G54" s="6"/>
      <c r="H54" s="6"/>
      <c r="I54" s="6"/>
      <c r="J54" s="3" t="str">
        <f t="shared" si="2"/>
        <v/>
      </c>
      <c r="K54" s="3" t="str">
        <f t="shared" si="3"/>
        <v/>
      </c>
      <c r="L54" s="5"/>
    </row>
    <row r="55" spans="1:12" ht="75" x14ac:dyDescent="0.25">
      <c r="A55" s="3">
        <v>54</v>
      </c>
      <c r="B55" s="3" t="s">
        <v>100</v>
      </c>
      <c r="C55" s="3" t="s">
        <v>259</v>
      </c>
      <c r="D55" s="5" t="s">
        <v>399</v>
      </c>
      <c r="E55" s="6"/>
      <c r="F55" s="6"/>
      <c r="G55" s="6"/>
      <c r="H55" s="6"/>
      <c r="I55" s="6"/>
      <c r="J55" s="3" t="str">
        <f t="shared" si="2"/>
        <v/>
      </c>
      <c r="K55" s="3" t="str">
        <f t="shared" si="3"/>
        <v/>
      </c>
      <c r="L55" s="5"/>
    </row>
    <row r="56" spans="1:12" ht="90" x14ac:dyDescent="0.25">
      <c r="A56" s="3">
        <v>55</v>
      </c>
      <c r="B56" s="3" t="s">
        <v>100</v>
      </c>
      <c r="C56" s="3" t="s">
        <v>264</v>
      </c>
      <c r="D56" s="5" t="s">
        <v>400</v>
      </c>
      <c r="E56" s="6"/>
      <c r="F56" s="6"/>
      <c r="G56" s="6"/>
      <c r="H56" s="6"/>
      <c r="I56" s="6"/>
      <c r="J56" s="3" t="str">
        <f t="shared" si="2"/>
        <v/>
      </c>
      <c r="K56" s="3" t="str">
        <f t="shared" si="3"/>
        <v/>
      </c>
      <c r="L56" s="5"/>
    </row>
    <row r="57" spans="1:12" ht="90" x14ac:dyDescent="0.25">
      <c r="A57" s="3">
        <v>56</v>
      </c>
      <c r="B57" s="3" t="s">
        <v>100</v>
      </c>
      <c r="C57" s="3" t="s">
        <v>264</v>
      </c>
      <c r="D57" s="5" t="s">
        <v>401</v>
      </c>
      <c r="E57" s="6"/>
      <c r="F57" s="6"/>
      <c r="G57" s="6"/>
      <c r="H57" s="6"/>
      <c r="I57" s="6"/>
      <c r="J57" s="3" t="str">
        <f t="shared" si="2"/>
        <v/>
      </c>
      <c r="K57" s="3" t="str">
        <f t="shared" si="3"/>
        <v/>
      </c>
      <c r="L57" s="5"/>
    </row>
    <row r="58" spans="1:12" ht="90" x14ac:dyDescent="0.25">
      <c r="A58" s="3">
        <v>57</v>
      </c>
      <c r="B58" s="3" t="s">
        <v>100</v>
      </c>
      <c r="C58" s="3" t="s">
        <v>264</v>
      </c>
      <c r="D58" s="5" t="s">
        <v>402</v>
      </c>
      <c r="E58" s="6"/>
      <c r="F58" s="6"/>
      <c r="G58" s="6"/>
      <c r="H58" s="6"/>
      <c r="I58" s="6"/>
      <c r="J58" s="3" t="str">
        <f t="shared" si="2"/>
        <v/>
      </c>
      <c r="K58" s="3" t="str">
        <f t="shared" si="3"/>
        <v/>
      </c>
      <c r="L58" s="5"/>
    </row>
    <row r="59" spans="1:12" ht="90" x14ac:dyDescent="0.25">
      <c r="A59" s="3">
        <v>58</v>
      </c>
      <c r="B59" s="3" t="s">
        <v>100</v>
      </c>
      <c r="C59" s="3" t="s">
        <v>268</v>
      </c>
      <c r="D59" s="5" t="s">
        <v>403</v>
      </c>
      <c r="E59" s="6"/>
      <c r="F59" s="6"/>
      <c r="G59" s="6"/>
      <c r="H59" s="6"/>
      <c r="I59" s="6"/>
      <c r="J59" s="3" t="str">
        <f t="shared" si="2"/>
        <v/>
      </c>
      <c r="K59" s="3" t="str">
        <f t="shared" si="3"/>
        <v/>
      </c>
      <c r="L59" s="5"/>
    </row>
    <row r="60" spans="1:12" ht="75" x14ac:dyDescent="0.25">
      <c r="A60" s="3">
        <v>59</v>
      </c>
      <c r="B60" s="3" t="s">
        <v>100</v>
      </c>
      <c r="C60" s="3" t="s">
        <v>268</v>
      </c>
      <c r="D60" s="5" t="s">
        <v>404</v>
      </c>
      <c r="E60" s="6"/>
      <c r="F60" s="6"/>
      <c r="G60" s="6"/>
      <c r="H60" s="6"/>
      <c r="I60" s="6"/>
      <c r="J60" s="3" t="str">
        <f t="shared" si="2"/>
        <v/>
      </c>
      <c r="K60" s="3" t="str">
        <f t="shared" si="3"/>
        <v/>
      </c>
      <c r="L60" s="5"/>
    </row>
    <row r="61" spans="1:12" ht="90" x14ac:dyDescent="0.25">
      <c r="A61" s="3">
        <v>60</v>
      </c>
      <c r="B61" s="3" t="s">
        <v>111</v>
      </c>
      <c r="C61" s="3" t="s">
        <v>271</v>
      </c>
      <c r="D61" s="5" t="s">
        <v>405</v>
      </c>
      <c r="E61" s="6"/>
      <c r="F61" s="6"/>
      <c r="G61" s="6"/>
      <c r="H61" s="6"/>
      <c r="I61" s="6"/>
      <c r="J61" s="3" t="str">
        <f t="shared" si="2"/>
        <v/>
      </c>
      <c r="K61" s="3" t="str">
        <f t="shared" si="3"/>
        <v/>
      </c>
      <c r="L61" s="5"/>
    </row>
    <row r="62" spans="1:12" ht="90" x14ac:dyDescent="0.25">
      <c r="A62" s="3">
        <v>61</v>
      </c>
      <c r="B62" s="3" t="s">
        <v>111</v>
      </c>
      <c r="C62" s="3" t="s">
        <v>271</v>
      </c>
      <c r="D62" s="5" t="s">
        <v>406</v>
      </c>
      <c r="E62" s="6"/>
      <c r="F62" s="6"/>
      <c r="G62" s="6"/>
      <c r="H62" s="6"/>
      <c r="I62" s="6"/>
      <c r="J62" s="3" t="str">
        <f t="shared" si="2"/>
        <v/>
      </c>
      <c r="K62" s="3" t="str">
        <f t="shared" si="3"/>
        <v/>
      </c>
      <c r="L62" s="5"/>
    </row>
    <row r="63" spans="1:12" ht="90" x14ac:dyDescent="0.25">
      <c r="A63" s="3">
        <v>62</v>
      </c>
      <c r="B63" s="3" t="s">
        <v>111</v>
      </c>
      <c r="C63" s="3" t="s">
        <v>274</v>
      </c>
      <c r="D63" s="5" t="s">
        <v>407</v>
      </c>
      <c r="E63" s="6"/>
      <c r="F63" s="6"/>
      <c r="G63" s="6"/>
      <c r="H63" s="6"/>
      <c r="I63" s="6"/>
      <c r="J63" s="3" t="str">
        <f t="shared" si="2"/>
        <v/>
      </c>
      <c r="K63" s="3" t="str">
        <f t="shared" si="3"/>
        <v/>
      </c>
      <c r="L63" s="5"/>
    </row>
    <row r="64" spans="1:12" ht="90" x14ac:dyDescent="0.25">
      <c r="A64" s="3">
        <v>63</v>
      </c>
      <c r="B64" s="3" t="s">
        <v>111</v>
      </c>
      <c r="C64" s="3" t="s">
        <v>274</v>
      </c>
      <c r="D64" s="5" t="s">
        <v>408</v>
      </c>
      <c r="E64" s="6"/>
      <c r="F64" s="6"/>
      <c r="G64" s="6"/>
      <c r="H64" s="6"/>
      <c r="I64" s="6"/>
      <c r="J64" s="3" t="str">
        <f t="shared" si="2"/>
        <v/>
      </c>
      <c r="K64" s="3" t="str">
        <f t="shared" si="3"/>
        <v/>
      </c>
      <c r="L64" s="5"/>
    </row>
    <row r="65" spans="1:12" ht="90" x14ac:dyDescent="0.25">
      <c r="A65" s="3">
        <v>64</v>
      </c>
      <c r="B65" s="3" t="s">
        <v>111</v>
      </c>
      <c r="C65" s="3" t="s">
        <v>277</v>
      </c>
      <c r="D65" s="5" t="s">
        <v>409</v>
      </c>
      <c r="E65" s="6"/>
      <c r="F65" s="6"/>
      <c r="G65" s="6"/>
      <c r="H65" s="6"/>
      <c r="I65" s="6"/>
      <c r="J65" s="3" t="str">
        <f t="shared" si="2"/>
        <v/>
      </c>
      <c r="K65" s="3" t="str">
        <f t="shared" si="3"/>
        <v/>
      </c>
      <c r="L65" s="5"/>
    </row>
    <row r="66" spans="1:12" ht="90" x14ac:dyDescent="0.25">
      <c r="A66" s="3">
        <v>65</v>
      </c>
      <c r="B66" s="3" t="s">
        <v>111</v>
      </c>
      <c r="C66" s="3" t="s">
        <v>277</v>
      </c>
      <c r="D66" s="5" t="s">
        <v>410</v>
      </c>
      <c r="E66" s="6"/>
      <c r="F66" s="6"/>
      <c r="G66" s="6"/>
      <c r="H66" s="6"/>
      <c r="I66" s="6"/>
      <c r="J66" s="3" t="str">
        <f t="shared" ref="J66:J97" si="4">IF(COUNT(E66:I66)=5,AVERAGE(E66:I66),"")</f>
        <v/>
      </c>
      <c r="K66" s="3" t="str">
        <f t="shared" ref="K66:K97" si="5">IF(J66="","",IF(J66&gt;=4,"Đạt","Không"))</f>
        <v/>
      </c>
      <c r="L66" s="5"/>
    </row>
    <row r="67" spans="1:12" ht="90" x14ac:dyDescent="0.25">
      <c r="A67" s="3">
        <v>66</v>
      </c>
      <c r="B67" s="3" t="s">
        <v>111</v>
      </c>
      <c r="C67" s="3" t="s">
        <v>280</v>
      </c>
      <c r="D67" s="5" t="s">
        <v>411</v>
      </c>
      <c r="E67" s="6"/>
      <c r="F67" s="6"/>
      <c r="G67" s="6"/>
      <c r="H67" s="6"/>
      <c r="I67" s="6"/>
      <c r="J67" s="3" t="str">
        <f t="shared" si="4"/>
        <v/>
      </c>
      <c r="K67" s="3" t="str">
        <f t="shared" si="5"/>
        <v/>
      </c>
      <c r="L67" s="5"/>
    </row>
    <row r="68" spans="1:12" ht="105" x14ac:dyDescent="0.25">
      <c r="A68" s="3">
        <v>67</v>
      </c>
      <c r="B68" s="3" t="s">
        <v>111</v>
      </c>
      <c r="C68" s="3" t="s">
        <v>280</v>
      </c>
      <c r="D68" s="5" t="s">
        <v>412</v>
      </c>
      <c r="E68" s="6"/>
      <c r="F68" s="6"/>
      <c r="G68" s="6"/>
      <c r="H68" s="6"/>
      <c r="I68" s="6"/>
      <c r="J68" s="3" t="str">
        <f t="shared" si="4"/>
        <v/>
      </c>
      <c r="K68" s="3" t="str">
        <f t="shared" si="5"/>
        <v/>
      </c>
      <c r="L68" s="5"/>
    </row>
    <row r="69" spans="1:12" ht="90" x14ac:dyDescent="0.25">
      <c r="A69" s="3">
        <v>68</v>
      </c>
      <c r="B69" s="3" t="s">
        <v>111</v>
      </c>
      <c r="C69" s="3" t="s">
        <v>283</v>
      </c>
      <c r="D69" s="5" t="s">
        <v>413</v>
      </c>
      <c r="E69" s="6"/>
      <c r="F69" s="6"/>
      <c r="G69" s="6"/>
      <c r="H69" s="6"/>
      <c r="I69" s="6"/>
      <c r="J69" s="3" t="str">
        <f t="shared" si="4"/>
        <v/>
      </c>
      <c r="K69" s="3" t="str">
        <f t="shared" si="5"/>
        <v/>
      </c>
      <c r="L69" s="5"/>
    </row>
    <row r="70" spans="1:12" ht="90" x14ac:dyDescent="0.25">
      <c r="A70" s="3">
        <v>69</v>
      </c>
      <c r="B70" s="3" t="s">
        <v>111</v>
      </c>
      <c r="C70" s="3" t="s">
        <v>285</v>
      </c>
      <c r="D70" s="5" t="s">
        <v>414</v>
      </c>
      <c r="E70" s="6"/>
      <c r="F70" s="6"/>
      <c r="G70" s="6"/>
      <c r="H70" s="6"/>
      <c r="I70" s="6"/>
      <c r="J70" s="3" t="str">
        <f t="shared" si="4"/>
        <v/>
      </c>
      <c r="K70" s="3" t="str">
        <f t="shared" si="5"/>
        <v/>
      </c>
      <c r="L70" s="5"/>
    </row>
    <row r="71" spans="1:12" ht="90" x14ac:dyDescent="0.25">
      <c r="A71" s="3">
        <v>70</v>
      </c>
      <c r="B71" s="3" t="s">
        <v>122</v>
      </c>
      <c r="C71" s="3" t="s">
        <v>287</v>
      </c>
      <c r="D71" s="5" t="s">
        <v>415</v>
      </c>
      <c r="E71" s="6"/>
      <c r="F71" s="6"/>
      <c r="G71" s="6"/>
      <c r="H71" s="6"/>
      <c r="I71" s="6"/>
      <c r="J71" s="3" t="str">
        <f t="shared" si="4"/>
        <v/>
      </c>
      <c r="K71" s="3" t="str">
        <f t="shared" si="5"/>
        <v/>
      </c>
      <c r="L71" s="5"/>
    </row>
    <row r="72" spans="1:12" ht="90" x14ac:dyDescent="0.25">
      <c r="A72" s="3">
        <v>71</v>
      </c>
      <c r="B72" s="3" t="s">
        <v>122</v>
      </c>
      <c r="C72" s="3" t="s">
        <v>287</v>
      </c>
      <c r="D72" s="5" t="s">
        <v>416</v>
      </c>
      <c r="E72" s="6"/>
      <c r="F72" s="6"/>
      <c r="G72" s="6"/>
      <c r="H72" s="6"/>
      <c r="I72" s="6"/>
      <c r="J72" s="3" t="str">
        <f t="shared" si="4"/>
        <v/>
      </c>
      <c r="K72" s="3" t="str">
        <f t="shared" si="5"/>
        <v/>
      </c>
      <c r="L72" s="5"/>
    </row>
    <row r="73" spans="1:12" ht="75" x14ac:dyDescent="0.25">
      <c r="A73" s="3">
        <v>72</v>
      </c>
      <c r="B73" s="3" t="s">
        <v>122</v>
      </c>
      <c r="C73" s="3" t="s">
        <v>287</v>
      </c>
      <c r="D73" s="5" t="s">
        <v>417</v>
      </c>
      <c r="E73" s="6"/>
      <c r="F73" s="6"/>
      <c r="G73" s="6"/>
      <c r="H73" s="6"/>
      <c r="I73" s="6"/>
      <c r="J73" s="3" t="str">
        <f t="shared" si="4"/>
        <v/>
      </c>
      <c r="K73" s="3" t="str">
        <f t="shared" si="5"/>
        <v/>
      </c>
      <c r="L73" s="5"/>
    </row>
    <row r="74" spans="1:12" ht="90" x14ac:dyDescent="0.25">
      <c r="A74" s="3">
        <v>73</v>
      </c>
      <c r="B74" s="3" t="s">
        <v>122</v>
      </c>
      <c r="C74" s="3" t="s">
        <v>287</v>
      </c>
      <c r="D74" s="5" t="s">
        <v>418</v>
      </c>
      <c r="E74" s="6"/>
      <c r="F74" s="6"/>
      <c r="G74" s="6"/>
      <c r="H74" s="6"/>
      <c r="I74" s="6"/>
      <c r="J74" s="3" t="str">
        <f t="shared" si="4"/>
        <v/>
      </c>
      <c r="K74" s="3" t="str">
        <f t="shared" si="5"/>
        <v/>
      </c>
      <c r="L74" s="5"/>
    </row>
    <row r="75" spans="1:12" ht="105" x14ac:dyDescent="0.25">
      <c r="A75" s="3">
        <v>74</v>
      </c>
      <c r="B75" s="3" t="s">
        <v>122</v>
      </c>
      <c r="C75" s="3" t="s">
        <v>292</v>
      </c>
      <c r="D75" s="5" t="s">
        <v>419</v>
      </c>
      <c r="E75" s="6"/>
      <c r="F75" s="6"/>
      <c r="G75" s="6"/>
      <c r="H75" s="6"/>
      <c r="I75" s="6"/>
      <c r="J75" s="3" t="str">
        <f t="shared" si="4"/>
        <v/>
      </c>
      <c r="K75" s="3" t="str">
        <f t="shared" si="5"/>
        <v/>
      </c>
      <c r="L75" s="5"/>
    </row>
    <row r="76" spans="1:12" ht="120" x14ac:dyDescent="0.25">
      <c r="A76" s="3">
        <v>75</v>
      </c>
      <c r="B76" s="3" t="s">
        <v>122</v>
      </c>
      <c r="C76" s="3" t="s">
        <v>292</v>
      </c>
      <c r="D76" s="5" t="s">
        <v>420</v>
      </c>
      <c r="E76" s="6"/>
      <c r="F76" s="6"/>
      <c r="G76" s="6"/>
      <c r="H76" s="6"/>
      <c r="I76" s="6"/>
      <c r="J76" s="3" t="str">
        <f t="shared" si="4"/>
        <v/>
      </c>
      <c r="K76" s="3" t="str">
        <f t="shared" si="5"/>
        <v/>
      </c>
      <c r="L76" s="5"/>
    </row>
    <row r="77" spans="1:12" ht="90" x14ac:dyDescent="0.25">
      <c r="A77" s="3">
        <v>76</v>
      </c>
      <c r="B77" s="3" t="s">
        <v>122</v>
      </c>
      <c r="C77" s="3" t="s">
        <v>295</v>
      </c>
      <c r="D77" s="5" t="s">
        <v>421</v>
      </c>
      <c r="E77" s="6"/>
      <c r="F77" s="6"/>
      <c r="G77" s="6"/>
      <c r="H77" s="6"/>
      <c r="I77" s="6"/>
      <c r="J77" s="3" t="str">
        <f t="shared" si="4"/>
        <v/>
      </c>
      <c r="K77" s="3" t="str">
        <f t="shared" si="5"/>
        <v/>
      </c>
      <c r="L77" s="5"/>
    </row>
    <row r="78" spans="1:12" ht="90" x14ac:dyDescent="0.25">
      <c r="A78" s="3">
        <v>77</v>
      </c>
      <c r="B78" s="3" t="s">
        <v>122</v>
      </c>
      <c r="C78" s="3" t="s">
        <v>295</v>
      </c>
      <c r="D78" s="5" t="s">
        <v>422</v>
      </c>
      <c r="E78" s="6"/>
      <c r="F78" s="6"/>
      <c r="G78" s="6"/>
      <c r="H78" s="6"/>
      <c r="I78" s="6"/>
      <c r="J78" s="3" t="str">
        <f t="shared" si="4"/>
        <v/>
      </c>
      <c r="K78" s="3" t="str">
        <f t="shared" si="5"/>
        <v/>
      </c>
      <c r="L78" s="5"/>
    </row>
    <row r="79" spans="1:12" ht="90" x14ac:dyDescent="0.25">
      <c r="A79" s="3">
        <v>78</v>
      </c>
      <c r="B79" s="3" t="s">
        <v>122</v>
      </c>
      <c r="C79" s="3" t="s">
        <v>295</v>
      </c>
      <c r="D79" s="5" t="s">
        <v>423</v>
      </c>
      <c r="E79" s="6"/>
      <c r="F79" s="6"/>
      <c r="G79" s="6"/>
      <c r="H79" s="6"/>
      <c r="I79" s="6"/>
      <c r="J79" s="3" t="str">
        <f t="shared" si="4"/>
        <v/>
      </c>
      <c r="K79" s="3" t="str">
        <f t="shared" si="5"/>
        <v/>
      </c>
      <c r="L79" s="5"/>
    </row>
    <row r="80" spans="1:12" ht="90" x14ac:dyDescent="0.25">
      <c r="A80" s="3">
        <v>79</v>
      </c>
      <c r="B80" s="3" t="s">
        <v>122</v>
      </c>
      <c r="C80" s="3" t="s">
        <v>299</v>
      </c>
      <c r="D80" s="5" t="s">
        <v>424</v>
      </c>
      <c r="E80" s="6"/>
      <c r="F80" s="6"/>
      <c r="G80" s="6"/>
      <c r="H80" s="6"/>
      <c r="I80" s="6"/>
      <c r="J80" s="3" t="str">
        <f t="shared" si="4"/>
        <v/>
      </c>
      <c r="K80" s="3" t="str">
        <f t="shared" si="5"/>
        <v/>
      </c>
      <c r="L80" s="5"/>
    </row>
    <row r="81" spans="1:12" ht="90" x14ac:dyDescent="0.25">
      <c r="A81" s="3">
        <v>80</v>
      </c>
      <c r="B81" s="3" t="s">
        <v>133</v>
      </c>
      <c r="C81" s="3" t="s">
        <v>287</v>
      </c>
      <c r="D81" s="5" t="s">
        <v>425</v>
      </c>
      <c r="E81" s="6"/>
      <c r="F81" s="6"/>
      <c r="G81" s="6"/>
      <c r="H81" s="6"/>
      <c r="I81" s="6"/>
      <c r="J81" s="3" t="str">
        <f t="shared" si="4"/>
        <v/>
      </c>
      <c r="K81" s="3" t="str">
        <f t="shared" si="5"/>
        <v/>
      </c>
      <c r="L81" s="5"/>
    </row>
    <row r="82" spans="1:12" ht="90" x14ac:dyDescent="0.25">
      <c r="A82" s="3">
        <v>81</v>
      </c>
      <c r="B82" s="3" t="s">
        <v>133</v>
      </c>
      <c r="C82" s="3" t="s">
        <v>287</v>
      </c>
      <c r="D82" s="5" t="s">
        <v>426</v>
      </c>
      <c r="E82" s="6"/>
      <c r="F82" s="6"/>
      <c r="G82" s="6"/>
      <c r="H82" s="6"/>
      <c r="I82" s="6"/>
      <c r="J82" s="3" t="str">
        <f t="shared" si="4"/>
        <v/>
      </c>
      <c r="K82" s="3" t="str">
        <f t="shared" si="5"/>
        <v/>
      </c>
      <c r="L82" s="5"/>
    </row>
    <row r="83" spans="1:12" ht="90" x14ac:dyDescent="0.25">
      <c r="A83" s="3">
        <v>82</v>
      </c>
      <c r="B83" s="3" t="s">
        <v>133</v>
      </c>
      <c r="C83" s="3" t="s">
        <v>287</v>
      </c>
      <c r="D83" s="5" t="s">
        <v>427</v>
      </c>
      <c r="E83" s="6"/>
      <c r="F83" s="6"/>
      <c r="G83" s="6"/>
      <c r="H83" s="6"/>
      <c r="I83" s="6"/>
      <c r="J83" s="3" t="str">
        <f t="shared" si="4"/>
        <v/>
      </c>
      <c r="K83" s="3" t="str">
        <f t="shared" si="5"/>
        <v/>
      </c>
      <c r="L83" s="5"/>
    </row>
    <row r="84" spans="1:12" ht="90" x14ac:dyDescent="0.25">
      <c r="A84" s="3">
        <v>83</v>
      </c>
      <c r="B84" s="3" t="s">
        <v>133</v>
      </c>
      <c r="C84" s="3" t="s">
        <v>287</v>
      </c>
      <c r="D84" s="5" t="s">
        <v>428</v>
      </c>
      <c r="E84" s="6"/>
      <c r="F84" s="6"/>
      <c r="G84" s="6"/>
      <c r="H84" s="6"/>
      <c r="I84" s="6"/>
      <c r="J84" s="3" t="str">
        <f t="shared" si="4"/>
        <v/>
      </c>
      <c r="K84" s="3" t="str">
        <f t="shared" si="5"/>
        <v/>
      </c>
      <c r="L84" s="5"/>
    </row>
    <row r="85" spans="1:12" ht="90" x14ac:dyDescent="0.25">
      <c r="A85" s="3">
        <v>84</v>
      </c>
      <c r="B85" s="3" t="s">
        <v>133</v>
      </c>
      <c r="C85" s="3" t="s">
        <v>305</v>
      </c>
      <c r="D85" s="5" t="s">
        <v>429</v>
      </c>
      <c r="E85" s="6"/>
      <c r="F85" s="6"/>
      <c r="G85" s="6"/>
      <c r="H85" s="6"/>
      <c r="I85" s="6"/>
      <c r="J85" s="3" t="str">
        <f t="shared" si="4"/>
        <v/>
      </c>
      <c r="K85" s="3" t="str">
        <f t="shared" si="5"/>
        <v/>
      </c>
      <c r="L85" s="5"/>
    </row>
    <row r="86" spans="1:12" ht="90" x14ac:dyDescent="0.25">
      <c r="A86" s="3">
        <v>85</v>
      </c>
      <c r="B86" s="3" t="s">
        <v>133</v>
      </c>
      <c r="C86" s="3" t="s">
        <v>305</v>
      </c>
      <c r="D86" s="5" t="s">
        <v>430</v>
      </c>
      <c r="E86" s="6"/>
      <c r="F86" s="6"/>
      <c r="G86" s="6"/>
      <c r="H86" s="6"/>
      <c r="I86" s="6"/>
      <c r="J86" s="3" t="str">
        <f t="shared" si="4"/>
        <v/>
      </c>
      <c r="K86" s="3" t="str">
        <f t="shared" si="5"/>
        <v/>
      </c>
      <c r="L86" s="5"/>
    </row>
    <row r="87" spans="1:12" ht="90" x14ac:dyDescent="0.25">
      <c r="A87" s="3">
        <v>86</v>
      </c>
      <c r="B87" s="3" t="s">
        <v>133</v>
      </c>
      <c r="C87" s="3" t="s">
        <v>305</v>
      </c>
      <c r="D87" s="5" t="s">
        <v>431</v>
      </c>
      <c r="E87" s="6"/>
      <c r="F87" s="6"/>
      <c r="G87" s="6"/>
      <c r="H87" s="6"/>
      <c r="I87" s="6"/>
      <c r="J87" s="3" t="str">
        <f t="shared" si="4"/>
        <v/>
      </c>
      <c r="K87" s="3" t="str">
        <f t="shared" si="5"/>
        <v/>
      </c>
      <c r="L87" s="5"/>
    </row>
    <row r="88" spans="1:12" ht="90" x14ac:dyDescent="0.25">
      <c r="A88" s="3">
        <v>87</v>
      </c>
      <c r="B88" s="3" t="s">
        <v>133</v>
      </c>
      <c r="C88" s="3" t="s">
        <v>309</v>
      </c>
      <c r="D88" s="5" t="s">
        <v>432</v>
      </c>
      <c r="E88" s="6"/>
      <c r="F88" s="6"/>
      <c r="G88" s="6"/>
      <c r="H88" s="6"/>
      <c r="I88" s="6"/>
      <c r="J88" s="3" t="str">
        <f t="shared" si="4"/>
        <v/>
      </c>
      <c r="K88" s="3" t="str">
        <f t="shared" si="5"/>
        <v/>
      </c>
      <c r="L88" s="5"/>
    </row>
    <row r="89" spans="1:12" ht="90" x14ac:dyDescent="0.25">
      <c r="A89" s="3">
        <v>88</v>
      </c>
      <c r="B89" s="3" t="s">
        <v>133</v>
      </c>
      <c r="C89" s="3" t="s">
        <v>309</v>
      </c>
      <c r="D89" s="5" t="s">
        <v>433</v>
      </c>
      <c r="E89" s="6"/>
      <c r="F89" s="6"/>
      <c r="G89" s="6"/>
      <c r="H89" s="6"/>
      <c r="I89" s="6"/>
      <c r="J89" s="3" t="str">
        <f t="shared" si="4"/>
        <v/>
      </c>
      <c r="K89" s="3" t="str">
        <f t="shared" si="5"/>
        <v/>
      </c>
      <c r="L89" s="5"/>
    </row>
    <row r="90" spans="1:12" ht="90" x14ac:dyDescent="0.25">
      <c r="A90" s="3">
        <v>89</v>
      </c>
      <c r="B90" s="3" t="s">
        <v>133</v>
      </c>
      <c r="C90" s="3" t="s">
        <v>312</v>
      </c>
      <c r="D90" s="5" t="s">
        <v>434</v>
      </c>
      <c r="E90" s="6"/>
      <c r="F90" s="6"/>
      <c r="G90" s="6"/>
      <c r="H90" s="6"/>
      <c r="I90" s="6"/>
      <c r="J90" s="3" t="str">
        <f t="shared" si="4"/>
        <v/>
      </c>
      <c r="K90" s="3" t="str">
        <f t="shared" si="5"/>
        <v/>
      </c>
      <c r="L90" s="5"/>
    </row>
    <row r="91" spans="1:12" ht="90" x14ac:dyDescent="0.25">
      <c r="A91" s="3">
        <v>90</v>
      </c>
      <c r="B91" s="3" t="s">
        <v>144</v>
      </c>
      <c r="C91" s="3" t="s">
        <v>314</v>
      </c>
      <c r="D91" s="5" t="s">
        <v>435</v>
      </c>
      <c r="E91" s="6"/>
      <c r="F91" s="6"/>
      <c r="G91" s="6"/>
      <c r="H91" s="6"/>
      <c r="I91" s="6"/>
      <c r="J91" s="3" t="str">
        <f t="shared" si="4"/>
        <v/>
      </c>
      <c r="K91" s="3" t="str">
        <f t="shared" si="5"/>
        <v/>
      </c>
      <c r="L91" s="5"/>
    </row>
    <row r="92" spans="1:12" ht="90" x14ac:dyDescent="0.25">
      <c r="A92" s="3">
        <v>91</v>
      </c>
      <c r="B92" s="3" t="s">
        <v>144</v>
      </c>
      <c r="C92" s="3" t="s">
        <v>314</v>
      </c>
      <c r="D92" s="5" t="s">
        <v>436</v>
      </c>
      <c r="E92" s="6"/>
      <c r="F92" s="6"/>
      <c r="G92" s="6"/>
      <c r="H92" s="6"/>
      <c r="I92" s="6"/>
      <c r="J92" s="3" t="str">
        <f t="shared" si="4"/>
        <v/>
      </c>
      <c r="K92" s="3" t="str">
        <f t="shared" si="5"/>
        <v/>
      </c>
      <c r="L92" s="5"/>
    </row>
    <row r="93" spans="1:12" ht="105" x14ac:dyDescent="0.25">
      <c r="A93" s="3">
        <v>92</v>
      </c>
      <c r="B93" s="3" t="s">
        <v>144</v>
      </c>
      <c r="C93" s="3" t="s">
        <v>317</v>
      </c>
      <c r="D93" s="5" t="s">
        <v>437</v>
      </c>
      <c r="E93" s="6"/>
      <c r="F93" s="6"/>
      <c r="G93" s="6"/>
      <c r="H93" s="6"/>
      <c r="I93" s="6"/>
      <c r="J93" s="3" t="str">
        <f t="shared" si="4"/>
        <v/>
      </c>
      <c r="K93" s="3" t="str">
        <f t="shared" si="5"/>
        <v/>
      </c>
      <c r="L93" s="5"/>
    </row>
    <row r="94" spans="1:12" ht="105" x14ac:dyDescent="0.25">
      <c r="A94" s="3">
        <v>93</v>
      </c>
      <c r="B94" s="3" t="s">
        <v>144</v>
      </c>
      <c r="C94" s="3" t="s">
        <v>317</v>
      </c>
      <c r="D94" s="5" t="s">
        <v>438</v>
      </c>
      <c r="E94" s="6"/>
      <c r="F94" s="6"/>
      <c r="G94" s="6"/>
      <c r="H94" s="6"/>
      <c r="I94" s="6"/>
      <c r="J94" s="3" t="str">
        <f t="shared" si="4"/>
        <v/>
      </c>
      <c r="K94" s="3" t="str">
        <f t="shared" si="5"/>
        <v/>
      </c>
      <c r="L94" s="5"/>
    </row>
    <row r="95" spans="1:12" ht="90" x14ac:dyDescent="0.25">
      <c r="A95" s="3">
        <v>94</v>
      </c>
      <c r="B95" s="3" t="s">
        <v>144</v>
      </c>
      <c r="C95" s="3" t="s">
        <v>320</v>
      </c>
      <c r="D95" s="5" t="s">
        <v>439</v>
      </c>
      <c r="E95" s="6"/>
      <c r="F95" s="6"/>
      <c r="G95" s="6"/>
      <c r="H95" s="6"/>
      <c r="I95" s="6"/>
      <c r="J95" s="3" t="str">
        <f t="shared" si="4"/>
        <v/>
      </c>
      <c r="K95" s="3" t="str">
        <f t="shared" si="5"/>
        <v/>
      </c>
      <c r="L95" s="5"/>
    </row>
    <row r="96" spans="1:12" ht="150" x14ac:dyDescent="0.25">
      <c r="A96" s="3">
        <v>95</v>
      </c>
      <c r="B96" s="3" t="s">
        <v>144</v>
      </c>
      <c r="C96" s="3" t="s">
        <v>322</v>
      </c>
      <c r="D96" s="5" t="s">
        <v>440</v>
      </c>
      <c r="E96" s="6"/>
      <c r="F96" s="6"/>
      <c r="G96" s="6"/>
      <c r="H96" s="6"/>
      <c r="I96" s="6"/>
      <c r="J96" s="3" t="str">
        <f t="shared" si="4"/>
        <v/>
      </c>
      <c r="K96" s="3" t="str">
        <f t="shared" si="5"/>
        <v/>
      </c>
      <c r="L96" s="5"/>
    </row>
    <row r="97" spans="1:12" ht="90" x14ac:dyDescent="0.25">
      <c r="A97" s="3">
        <v>96</v>
      </c>
      <c r="B97" s="3" t="s">
        <v>144</v>
      </c>
      <c r="C97" s="3" t="s">
        <v>322</v>
      </c>
      <c r="D97" s="5" t="s">
        <v>441</v>
      </c>
      <c r="E97" s="6"/>
      <c r="F97" s="6"/>
      <c r="G97" s="6"/>
      <c r="H97" s="6"/>
      <c r="I97" s="6"/>
      <c r="J97" s="3" t="str">
        <f t="shared" si="4"/>
        <v/>
      </c>
      <c r="K97" s="3" t="str">
        <f t="shared" si="5"/>
        <v/>
      </c>
      <c r="L97" s="5"/>
    </row>
    <row r="98" spans="1:12" ht="90" x14ac:dyDescent="0.25">
      <c r="A98" s="3">
        <v>97</v>
      </c>
      <c r="B98" s="3" t="s">
        <v>144</v>
      </c>
      <c r="C98" s="3" t="s">
        <v>325</v>
      </c>
      <c r="D98" s="5" t="s">
        <v>442</v>
      </c>
      <c r="E98" s="6"/>
      <c r="F98" s="6"/>
      <c r="G98" s="6"/>
      <c r="H98" s="6"/>
      <c r="I98" s="6"/>
      <c r="J98" s="3" t="str">
        <f t="shared" ref="J98:J129" si="6">IF(COUNT(E98:I98)=5,AVERAGE(E98:I98),"")</f>
        <v/>
      </c>
      <c r="K98" s="3" t="str">
        <f t="shared" ref="K98:K129" si="7">IF(J98="","",IF(J98&gt;=4,"Đạt","Không"))</f>
        <v/>
      </c>
      <c r="L98" s="5"/>
    </row>
    <row r="99" spans="1:12" ht="90" x14ac:dyDescent="0.25">
      <c r="A99" s="3">
        <v>98</v>
      </c>
      <c r="B99" s="3" t="s">
        <v>144</v>
      </c>
      <c r="C99" s="3" t="s">
        <v>325</v>
      </c>
      <c r="D99" s="5" t="s">
        <v>443</v>
      </c>
      <c r="E99" s="6"/>
      <c r="F99" s="6"/>
      <c r="G99" s="6"/>
      <c r="H99" s="6"/>
      <c r="I99" s="6"/>
      <c r="J99" s="3" t="str">
        <f t="shared" si="6"/>
        <v/>
      </c>
      <c r="K99" s="3" t="str">
        <f t="shared" si="7"/>
        <v/>
      </c>
      <c r="L99" s="5"/>
    </row>
    <row r="100" spans="1:12" ht="90" x14ac:dyDescent="0.25">
      <c r="A100" s="3">
        <v>99</v>
      </c>
      <c r="B100" s="3" t="s">
        <v>144</v>
      </c>
      <c r="C100" s="3" t="s">
        <v>325</v>
      </c>
      <c r="D100" s="5" t="s">
        <v>444</v>
      </c>
      <c r="E100" s="6"/>
      <c r="F100" s="6"/>
      <c r="G100" s="6"/>
      <c r="H100" s="6"/>
      <c r="I100" s="6"/>
      <c r="J100" s="3" t="str">
        <f t="shared" si="6"/>
        <v/>
      </c>
      <c r="K100" s="3" t="str">
        <f t="shared" si="7"/>
        <v/>
      </c>
      <c r="L100" s="5"/>
    </row>
    <row r="101" spans="1:12" ht="105" x14ac:dyDescent="0.25">
      <c r="A101" s="3">
        <v>100</v>
      </c>
      <c r="B101" s="3" t="s">
        <v>155</v>
      </c>
      <c r="C101" s="3" t="s">
        <v>329</v>
      </c>
      <c r="D101" s="5" t="s">
        <v>445</v>
      </c>
      <c r="E101" s="6"/>
      <c r="F101" s="6"/>
      <c r="G101" s="6"/>
      <c r="H101" s="6"/>
      <c r="I101" s="6"/>
      <c r="J101" s="3" t="str">
        <f t="shared" si="6"/>
        <v/>
      </c>
      <c r="K101" s="3" t="str">
        <f t="shared" si="7"/>
        <v/>
      </c>
      <c r="L101" s="5"/>
    </row>
    <row r="102" spans="1:12" ht="105" x14ac:dyDescent="0.25">
      <c r="A102" s="3">
        <v>101</v>
      </c>
      <c r="B102" s="3" t="s">
        <v>155</v>
      </c>
      <c r="C102" s="3" t="s">
        <v>329</v>
      </c>
      <c r="D102" s="5" t="s">
        <v>446</v>
      </c>
      <c r="E102" s="6"/>
      <c r="F102" s="6"/>
      <c r="G102" s="6"/>
      <c r="H102" s="6"/>
      <c r="I102" s="6"/>
      <c r="J102" s="3" t="str">
        <f t="shared" si="6"/>
        <v/>
      </c>
      <c r="K102" s="3" t="str">
        <f t="shared" si="7"/>
        <v/>
      </c>
      <c r="L102" s="5"/>
    </row>
    <row r="103" spans="1:12" ht="90" x14ac:dyDescent="0.25">
      <c r="A103" s="3">
        <v>102</v>
      </c>
      <c r="B103" s="3" t="s">
        <v>155</v>
      </c>
      <c r="C103" s="3" t="s">
        <v>332</v>
      </c>
      <c r="D103" s="5" t="s">
        <v>447</v>
      </c>
      <c r="E103" s="6"/>
      <c r="F103" s="6"/>
      <c r="G103" s="6"/>
      <c r="H103" s="6"/>
      <c r="I103" s="6"/>
      <c r="J103" s="3" t="str">
        <f t="shared" si="6"/>
        <v/>
      </c>
      <c r="K103" s="3" t="str">
        <f t="shared" si="7"/>
        <v/>
      </c>
      <c r="L103" s="5"/>
    </row>
    <row r="104" spans="1:12" ht="90" x14ac:dyDescent="0.25">
      <c r="A104" s="3">
        <v>103</v>
      </c>
      <c r="B104" s="3" t="s">
        <v>166</v>
      </c>
      <c r="C104" s="3" t="s">
        <v>334</v>
      </c>
      <c r="D104" s="5" t="s">
        <v>448</v>
      </c>
      <c r="E104" s="6"/>
      <c r="F104" s="6"/>
      <c r="G104" s="6"/>
      <c r="H104" s="6"/>
      <c r="I104" s="6"/>
      <c r="J104" s="3" t="str">
        <f t="shared" si="6"/>
        <v/>
      </c>
      <c r="K104" s="3" t="str">
        <f t="shared" si="7"/>
        <v/>
      </c>
      <c r="L104" s="5"/>
    </row>
    <row r="105" spans="1:12" ht="90" x14ac:dyDescent="0.25">
      <c r="A105" s="3">
        <v>104</v>
      </c>
      <c r="B105" s="3" t="s">
        <v>166</v>
      </c>
      <c r="C105" s="3" t="s">
        <v>334</v>
      </c>
      <c r="D105" s="5" t="s">
        <v>449</v>
      </c>
      <c r="E105" s="6"/>
      <c r="F105" s="6"/>
      <c r="G105" s="6"/>
      <c r="H105" s="6"/>
      <c r="I105" s="6"/>
      <c r="J105" s="3" t="str">
        <f t="shared" si="6"/>
        <v/>
      </c>
      <c r="K105" s="3" t="str">
        <f t="shared" si="7"/>
        <v/>
      </c>
      <c r="L105" s="5"/>
    </row>
    <row r="106" spans="1:12" ht="90" x14ac:dyDescent="0.25">
      <c r="A106" s="3">
        <v>105</v>
      </c>
      <c r="B106" s="3" t="s">
        <v>166</v>
      </c>
      <c r="C106" s="3" t="s">
        <v>334</v>
      </c>
      <c r="D106" s="5" t="s">
        <v>450</v>
      </c>
      <c r="E106" s="6"/>
      <c r="F106" s="6"/>
      <c r="G106" s="6"/>
      <c r="H106" s="6"/>
      <c r="I106" s="6"/>
      <c r="J106" s="3" t="str">
        <f t="shared" si="6"/>
        <v/>
      </c>
      <c r="K106" s="3" t="str">
        <f t="shared" si="7"/>
        <v/>
      </c>
      <c r="L106" s="5"/>
    </row>
    <row r="107" spans="1:12" ht="90" x14ac:dyDescent="0.25">
      <c r="A107" s="3">
        <v>106</v>
      </c>
      <c r="B107" s="3" t="s">
        <v>166</v>
      </c>
      <c r="C107" s="3" t="s">
        <v>334</v>
      </c>
      <c r="D107" s="5" t="s">
        <v>451</v>
      </c>
      <c r="E107" s="6"/>
      <c r="F107" s="6"/>
      <c r="G107" s="6"/>
      <c r="H107" s="6"/>
      <c r="I107" s="6"/>
      <c r="J107" s="3" t="str">
        <f t="shared" si="6"/>
        <v/>
      </c>
      <c r="K107" s="3" t="str">
        <f t="shared" si="7"/>
        <v/>
      </c>
      <c r="L107" s="5"/>
    </row>
    <row r="108" spans="1:12" ht="105" x14ac:dyDescent="0.25">
      <c r="A108" s="3">
        <v>107</v>
      </c>
      <c r="B108" s="3" t="s">
        <v>166</v>
      </c>
      <c r="C108" s="3" t="s">
        <v>339</v>
      </c>
      <c r="D108" s="5" t="s">
        <v>452</v>
      </c>
      <c r="E108" s="6"/>
      <c r="F108" s="6"/>
      <c r="G108" s="6"/>
      <c r="H108" s="6"/>
      <c r="I108" s="6"/>
      <c r="J108" s="3" t="str">
        <f t="shared" si="6"/>
        <v/>
      </c>
      <c r="K108" s="3" t="str">
        <f t="shared" si="7"/>
        <v/>
      </c>
      <c r="L108" s="5"/>
    </row>
    <row r="109" spans="1:12" ht="105" x14ac:dyDescent="0.25">
      <c r="A109" s="3">
        <v>108</v>
      </c>
      <c r="B109" s="3" t="s">
        <v>166</v>
      </c>
      <c r="C109" s="3" t="s">
        <v>339</v>
      </c>
      <c r="D109" s="5" t="s">
        <v>453</v>
      </c>
      <c r="E109" s="6"/>
      <c r="F109" s="6"/>
      <c r="G109" s="6"/>
      <c r="H109" s="6"/>
      <c r="I109" s="6"/>
      <c r="J109" s="3" t="str">
        <f t="shared" si="6"/>
        <v/>
      </c>
      <c r="K109" s="3" t="str">
        <f t="shared" si="7"/>
        <v/>
      </c>
      <c r="L109" s="5"/>
    </row>
    <row r="110" spans="1:12" ht="105" x14ac:dyDescent="0.25">
      <c r="A110" s="3">
        <v>109</v>
      </c>
      <c r="B110" s="3" t="s">
        <v>166</v>
      </c>
      <c r="C110" s="3" t="s">
        <v>339</v>
      </c>
      <c r="D110" s="5" t="s">
        <v>454</v>
      </c>
      <c r="E110" s="6"/>
      <c r="F110" s="6"/>
      <c r="G110" s="6"/>
      <c r="H110" s="6"/>
      <c r="I110" s="6"/>
      <c r="J110" s="3" t="str">
        <f t="shared" si="6"/>
        <v/>
      </c>
      <c r="K110" s="3" t="str">
        <f t="shared" si="7"/>
        <v/>
      </c>
      <c r="L110" s="5"/>
    </row>
    <row r="111" spans="1:12" ht="90" x14ac:dyDescent="0.25">
      <c r="A111" s="3">
        <v>110</v>
      </c>
      <c r="B111" s="3" t="s">
        <v>166</v>
      </c>
      <c r="C111" s="3" t="s">
        <v>343</v>
      </c>
      <c r="D111" s="5" t="s">
        <v>455</v>
      </c>
      <c r="E111" s="6"/>
      <c r="F111" s="6"/>
      <c r="G111" s="6"/>
      <c r="H111" s="6"/>
      <c r="I111" s="6"/>
      <c r="J111" s="3" t="str">
        <f t="shared" si="6"/>
        <v/>
      </c>
      <c r="K111" s="3" t="str">
        <f t="shared" si="7"/>
        <v/>
      </c>
      <c r="L111" s="5"/>
    </row>
    <row r="112" spans="1:12" ht="90" x14ac:dyDescent="0.25">
      <c r="A112" s="3">
        <v>111</v>
      </c>
      <c r="B112" s="3" t="s">
        <v>166</v>
      </c>
      <c r="C112" s="3" t="s">
        <v>343</v>
      </c>
      <c r="D112" s="5" t="s">
        <v>456</v>
      </c>
      <c r="E112" s="6"/>
      <c r="F112" s="6"/>
      <c r="G112" s="6"/>
      <c r="H112" s="6"/>
      <c r="I112" s="6"/>
      <c r="J112" s="3" t="str">
        <f t="shared" si="6"/>
        <v/>
      </c>
      <c r="K112" s="3" t="str">
        <f t="shared" si="7"/>
        <v/>
      </c>
      <c r="L1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0"/>
  <sheetViews>
    <sheetView showGridLines="0" workbookViewId="0">
      <pane ySplit="1" topLeftCell="A2" activePane="bottomLeft" state="frozen"/>
      <selection pane="bottomLeft"/>
    </sheetView>
  </sheetViews>
  <sheetFormatPr defaultRowHeight="15" x14ac:dyDescent="0.25"/>
  <cols>
    <col min="1" max="1" width="6" customWidth="1"/>
    <col min="2" max="2" width="20" customWidth="1"/>
    <col min="3" max="3" width="30" customWidth="1"/>
    <col min="4" max="4" width="70" customWidth="1"/>
    <col min="5" max="5" width="11" customWidth="1"/>
    <col min="6" max="8" width="10" customWidth="1"/>
    <col min="9" max="10" width="9" customWidth="1"/>
    <col min="11" max="11" width="8" customWidth="1"/>
    <col min="12" max="12" width="14" customWidth="1"/>
  </cols>
  <sheetData>
    <row r="1" spans="1:12" x14ac:dyDescent="0.25">
      <c r="A1" s="2" t="s">
        <v>33</v>
      </c>
      <c r="B1" s="2" t="s">
        <v>34</v>
      </c>
      <c r="C1" s="2" t="s">
        <v>35</v>
      </c>
      <c r="D1" s="2" t="s">
        <v>36</v>
      </c>
      <c r="E1" s="2" t="s">
        <v>37</v>
      </c>
      <c r="F1" s="2" t="s">
        <v>38</v>
      </c>
      <c r="G1" s="2" t="s">
        <v>39</v>
      </c>
      <c r="H1" s="2" t="s">
        <v>40</v>
      </c>
      <c r="I1" s="2" t="s">
        <v>41</v>
      </c>
      <c r="J1" s="2" t="s">
        <v>42</v>
      </c>
      <c r="K1" s="2" t="s">
        <v>43</v>
      </c>
      <c r="L1" s="2" t="s">
        <v>44</v>
      </c>
    </row>
    <row r="2" spans="1:12" ht="150" x14ac:dyDescent="0.25">
      <c r="A2" s="3">
        <v>1</v>
      </c>
      <c r="B2" s="3" t="s">
        <v>45</v>
      </c>
      <c r="C2" s="3" t="s">
        <v>177</v>
      </c>
      <c r="D2" s="5" t="s">
        <v>457</v>
      </c>
      <c r="E2" s="6"/>
      <c r="F2" s="6"/>
      <c r="G2" s="6"/>
      <c r="H2" s="6"/>
      <c r="I2" s="6"/>
      <c r="J2" s="3" t="str">
        <f t="shared" ref="J2:J33" si="0">IF(COUNT(E2:I2)=5,AVERAGE(E2:I2),"")</f>
        <v/>
      </c>
      <c r="K2" s="3" t="str">
        <f t="shared" ref="K2:K33" si="1">IF(J2="","",IF(J2&gt;=4,"Đạt","Không"))</f>
        <v/>
      </c>
      <c r="L2" s="5"/>
    </row>
    <row r="3" spans="1:12" ht="135" x14ac:dyDescent="0.25">
      <c r="A3" s="3">
        <v>2</v>
      </c>
      <c r="B3" s="3" t="s">
        <v>45</v>
      </c>
      <c r="C3" s="3" t="s">
        <v>177</v>
      </c>
      <c r="D3" s="5" t="s">
        <v>458</v>
      </c>
      <c r="E3" s="6"/>
      <c r="F3" s="6"/>
      <c r="G3" s="6"/>
      <c r="H3" s="6"/>
      <c r="I3" s="6"/>
      <c r="J3" s="3" t="str">
        <f t="shared" si="0"/>
        <v/>
      </c>
      <c r="K3" s="3" t="str">
        <f t="shared" si="1"/>
        <v/>
      </c>
      <c r="L3" s="5"/>
    </row>
    <row r="4" spans="1:12" ht="150" x14ac:dyDescent="0.25">
      <c r="A4" s="3">
        <v>3</v>
      </c>
      <c r="B4" s="3" t="s">
        <v>45</v>
      </c>
      <c r="C4" s="3" t="s">
        <v>180</v>
      </c>
      <c r="D4" s="5" t="s">
        <v>459</v>
      </c>
      <c r="E4" s="6"/>
      <c r="F4" s="6"/>
      <c r="G4" s="6"/>
      <c r="H4" s="6"/>
      <c r="I4" s="6"/>
      <c r="J4" s="3" t="str">
        <f t="shared" si="0"/>
        <v/>
      </c>
      <c r="K4" s="3" t="str">
        <f t="shared" si="1"/>
        <v/>
      </c>
      <c r="L4" s="5"/>
    </row>
    <row r="5" spans="1:12" ht="105" x14ac:dyDescent="0.25">
      <c r="A5" s="3">
        <v>4</v>
      </c>
      <c r="B5" s="3" t="s">
        <v>45</v>
      </c>
      <c r="C5" s="3" t="s">
        <v>182</v>
      </c>
      <c r="D5" s="5" t="s">
        <v>460</v>
      </c>
      <c r="E5" s="6"/>
      <c r="F5" s="6"/>
      <c r="G5" s="6"/>
      <c r="H5" s="6"/>
      <c r="I5" s="6"/>
      <c r="J5" s="3" t="str">
        <f t="shared" si="0"/>
        <v/>
      </c>
      <c r="K5" s="3" t="str">
        <f t="shared" si="1"/>
        <v/>
      </c>
      <c r="L5" s="5"/>
    </row>
    <row r="6" spans="1:12" ht="105" x14ac:dyDescent="0.25">
      <c r="A6" s="3">
        <v>5</v>
      </c>
      <c r="B6" s="3" t="s">
        <v>45</v>
      </c>
      <c r="C6" s="3" t="s">
        <v>182</v>
      </c>
      <c r="D6" s="5" t="s">
        <v>461</v>
      </c>
      <c r="E6" s="6"/>
      <c r="F6" s="6"/>
      <c r="G6" s="6"/>
      <c r="H6" s="6"/>
      <c r="I6" s="6"/>
      <c r="J6" s="3" t="str">
        <f t="shared" si="0"/>
        <v/>
      </c>
      <c r="K6" s="3" t="str">
        <f t="shared" si="1"/>
        <v/>
      </c>
      <c r="L6" s="5"/>
    </row>
    <row r="7" spans="1:12" ht="195" x14ac:dyDescent="0.25">
      <c r="A7" s="3">
        <v>6</v>
      </c>
      <c r="B7" s="3" t="s">
        <v>45</v>
      </c>
      <c r="C7" s="3" t="s">
        <v>184</v>
      </c>
      <c r="D7" s="5" t="s">
        <v>462</v>
      </c>
      <c r="E7" s="6"/>
      <c r="F7" s="6"/>
      <c r="G7" s="6"/>
      <c r="H7" s="6"/>
      <c r="I7" s="6"/>
      <c r="J7" s="3" t="str">
        <f t="shared" si="0"/>
        <v/>
      </c>
      <c r="K7" s="3" t="str">
        <f t="shared" si="1"/>
        <v/>
      </c>
      <c r="L7" s="5"/>
    </row>
    <row r="8" spans="1:12" ht="225" x14ac:dyDescent="0.25">
      <c r="A8" s="3">
        <v>7</v>
      </c>
      <c r="B8" s="3" t="s">
        <v>45</v>
      </c>
      <c r="C8" s="3" t="s">
        <v>184</v>
      </c>
      <c r="D8" s="5" t="s">
        <v>463</v>
      </c>
      <c r="E8" s="6"/>
      <c r="F8" s="6"/>
      <c r="G8" s="6"/>
      <c r="H8" s="6"/>
      <c r="I8" s="6"/>
      <c r="J8" s="3" t="str">
        <f t="shared" si="0"/>
        <v/>
      </c>
      <c r="K8" s="3" t="str">
        <f t="shared" si="1"/>
        <v/>
      </c>
      <c r="L8" s="5"/>
    </row>
    <row r="9" spans="1:12" ht="165" x14ac:dyDescent="0.25">
      <c r="A9" s="3">
        <v>8</v>
      </c>
      <c r="B9" s="3" t="s">
        <v>45</v>
      </c>
      <c r="C9" s="3" t="s">
        <v>184</v>
      </c>
      <c r="D9" s="5" t="s">
        <v>464</v>
      </c>
      <c r="E9" s="6"/>
      <c r="F9" s="6"/>
      <c r="G9" s="6"/>
      <c r="H9" s="6"/>
      <c r="I9" s="6"/>
      <c r="J9" s="3" t="str">
        <f t="shared" si="0"/>
        <v/>
      </c>
      <c r="K9" s="3" t="str">
        <f t="shared" si="1"/>
        <v/>
      </c>
      <c r="L9" s="5"/>
    </row>
    <row r="10" spans="1:12" ht="105" x14ac:dyDescent="0.25">
      <c r="A10" s="3">
        <v>9</v>
      </c>
      <c r="B10" s="3" t="s">
        <v>45</v>
      </c>
      <c r="C10" s="3" t="s">
        <v>187</v>
      </c>
      <c r="D10" s="5" t="s">
        <v>465</v>
      </c>
      <c r="E10" s="6"/>
      <c r="F10" s="6"/>
      <c r="G10" s="6"/>
      <c r="H10" s="6"/>
      <c r="I10" s="6"/>
      <c r="J10" s="3" t="str">
        <f t="shared" si="0"/>
        <v/>
      </c>
      <c r="K10" s="3" t="str">
        <f t="shared" si="1"/>
        <v/>
      </c>
      <c r="L10" s="5"/>
    </row>
    <row r="11" spans="1:12" ht="90" x14ac:dyDescent="0.25">
      <c r="A11" s="3">
        <v>10</v>
      </c>
      <c r="B11" s="3" t="s">
        <v>45</v>
      </c>
      <c r="C11" s="3" t="s">
        <v>187</v>
      </c>
      <c r="D11" s="5" t="s">
        <v>466</v>
      </c>
      <c r="E11" s="6"/>
      <c r="F11" s="6"/>
      <c r="G11" s="6"/>
      <c r="H11" s="6"/>
      <c r="I11" s="6"/>
      <c r="J11" s="3" t="str">
        <f t="shared" si="0"/>
        <v/>
      </c>
      <c r="K11" s="3" t="str">
        <f t="shared" si="1"/>
        <v/>
      </c>
      <c r="L11" s="5"/>
    </row>
    <row r="12" spans="1:12" ht="135" x14ac:dyDescent="0.25">
      <c r="A12" s="3">
        <v>11</v>
      </c>
      <c r="B12" s="3" t="s">
        <v>56</v>
      </c>
      <c r="C12" s="3" t="s">
        <v>195</v>
      </c>
      <c r="D12" s="5" t="s">
        <v>467</v>
      </c>
      <c r="E12" s="6"/>
      <c r="F12" s="6"/>
      <c r="G12" s="6"/>
      <c r="H12" s="6"/>
      <c r="I12" s="6"/>
      <c r="J12" s="3" t="str">
        <f t="shared" si="0"/>
        <v/>
      </c>
      <c r="K12" s="3" t="str">
        <f t="shared" si="1"/>
        <v/>
      </c>
      <c r="L12" s="5"/>
    </row>
    <row r="13" spans="1:12" ht="105" x14ac:dyDescent="0.25">
      <c r="A13" s="3">
        <v>12</v>
      </c>
      <c r="B13" s="3" t="s">
        <v>56</v>
      </c>
      <c r="C13" s="3" t="s">
        <v>195</v>
      </c>
      <c r="D13" s="5" t="s">
        <v>468</v>
      </c>
      <c r="E13" s="6"/>
      <c r="F13" s="6"/>
      <c r="G13" s="6"/>
      <c r="H13" s="6"/>
      <c r="I13" s="6"/>
      <c r="J13" s="3" t="str">
        <f t="shared" si="0"/>
        <v/>
      </c>
      <c r="K13" s="3" t="str">
        <f t="shared" si="1"/>
        <v/>
      </c>
      <c r="L13" s="5"/>
    </row>
    <row r="14" spans="1:12" ht="120" x14ac:dyDescent="0.25">
      <c r="A14" s="3">
        <v>13</v>
      </c>
      <c r="B14" s="3" t="s">
        <v>56</v>
      </c>
      <c r="C14" s="3" t="s">
        <v>198</v>
      </c>
      <c r="D14" s="5" t="s">
        <v>469</v>
      </c>
      <c r="E14" s="6"/>
      <c r="F14" s="6"/>
      <c r="G14" s="6"/>
      <c r="H14" s="6"/>
      <c r="I14" s="6"/>
      <c r="J14" s="3" t="str">
        <f t="shared" si="0"/>
        <v/>
      </c>
      <c r="K14" s="3" t="str">
        <f t="shared" si="1"/>
        <v/>
      </c>
      <c r="L14" s="5"/>
    </row>
    <row r="15" spans="1:12" ht="90" x14ac:dyDescent="0.25">
      <c r="A15" s="3">
        <v>14</v>
      </c>
      <c r="B15" s="3" t="s">
        <v>56</v>
      </c>
      <c r="C15" s="3" t="s">
        <v>200</v>
      </c>
      <c r="D15" s="5" t="s">
        <v>470</v>
      </c>
      <c r="E15" s="6"/>
      <c r="F15" s="6"/>
      <c r="G15" s="6"/>
      <c r="H15" s="6"/>
      <c r="I15" s="6"/>
      <c r="J15" s="3" t="str">
        <f t="shared" si="0"/>
        <v/>
      </c>
      <c r="K15" s="3" t="str">
        <f t="shared" si="1"/>
        <v/>
      </c>
      <c r="L15" s="5"/>
    </row>
    <row r="16" spans="1:12" ht="105" x14ac:dyDescent="0.25">
      <c r="A16" s="3">
        <v>15</v>
      </c>
      <c r="B16" s="3" t="s">
        <v>56</v>
      </c>
      <c r="C16" s="3" t="s">
        <v>200</v>
      </c>
      <c r="D16" s="5" t="s">
        <v>471</v>
      </c>
      <c r="E16" s="6"/>
      <c r="F16" s="6"/>
      <c r="G16" s="6"/>
      <c r="H16" s="6"/>
      <c r="I16" s="6"/>
      <c r="J16" s="3" t="str">
        <f t="shared" si="0"/>
        <v/>
      </c>
      <c r="K16" s="3" t="str">
        <f t="shared" si="1"/>
        <v/>
      </c>
      <c r="L16" s="5"/>
    </row>
    <row r="17" spans="1:12" ht="105" x14ac:dyDescent="0.25">
      <c r="A17" s="3">
        <v>16</v>
      </c>
      <c r="B17" s="3" t="s">
        <v>56</v>
      </c>
      <c r="C17" s="3" t="s">
        <v>200</v>
      </c>
      <c r="D17" s="5" t="s">
        <v>472</v>
      </c>
      <c r="E17" s="6"/>
      <c r="F17" s="6"/>
      <c r="G17" s="6"/>
      <c r="H17" s="6"/>
      <c r="I17" s="6"/>
      <c r="J17" s="3" t="str">
        <f t="shared" si="0"/>
        <v/>
      </c>
      <c r="K17" s="3" t="str">
        <f t="shared" si="1"/>
        <v/>
      </c>
      <c r="L17" s="5"/>
    </row>
    <row r="18" spans="1:12" ht="120" x14ac:dyDescent="0.25">
      <c r="A18" s="3">
        <v>17</v>
      </c>
      <c r="B18" s="3" t="s">
        <v>56</v>
      </c>
      <c r="C18" s="3" t="s">
        <v>204</v>
      </c>
      <c r="D18" s="5" t="s">
        <v>473</v>
      </c>
      <c r="E18" s="6"/>
      <c r="F18" s="6"/>
      <c r="G18" s="6"/>
      <c r="H18" s="6"/>
      <c r="I18" s="6"/>
      <c r="J18" s="3" t="str">
        <f t="shared" si="0"/>
        <v/>
      </c>
      <c r="K18" s="3" t="str">
        <f t="shared" si="1"/>
        <v/>
      </c>
      <c r="L18" s="5"/>
    </row>
    <row r="19" spans="1:12" ht="105" x14ac:dyDescent="0.25">
      <c r="A19" s="3">
        <v>18</v>
      </c>
      <c r="B19" s="3" t="s">
        <v>56</v>
      </c>
      <c r="C19" s="3" t="s">
        <v>204</v>
      </c>
      <c r="D19" s="5" t="s">
        <v>474</v>
      </c>
      <c r="E19" s="6"/>
      <c r="F19" s="6"/>
      <c r="G19" s="6"/>
      <c r="H19" s="6"/>
      <c r="I19" s="6"/>
      <c r="J19" s="3" t="str">
        <f t="shared" si="0"/>
        <v/>
      </c>
      <c r="K19" s="3" t="str">
        <f t="shared" si="1"/>
        <v/>
      </c>
      <c r="L19" s="5"/>
    </row>
    <row r="20" spans="1:12" ht="105" x14ac:dyDescent="0.25">
      <c r="A20" s="3">
        <v>19</v>
      </c>
      <c r="B20" s="3" t="s">
        <v>56</v>
      </c>
      <c r="C20" s="3" t="s">
        <v>207</v>
      </c>
      <c r="D20" s="5" t="s">
        <v>475</v>
      </c>
      <c r="E20" s="6"/>
      <c r="F20" s="6"/>
      <c r="G20" s="6"/>
      <c r="H20" s="6"/>
      <c r="I20" s="6"/>
      <c r="J20" s="3" t="str">
        <f t="shared" si="0"/>
        <v/>
      </c>
      <c r="K20" s="3" t="str">
        <f t="shared" si="1"/>
        <v/>
      </c>
      <c r="L20" s="5"/>
    </row>
    <row r="21" spans="1:12" ht="120" x14ac:dyDescent="0.25">
      <c r="A21" s="3">
        <v>20</v>
      </c>
      <c r="B21" s="3" t="s">
        <v>56</v>
      </c>
      <c r="C21" s="3" t="s">
        <v>476</v>
      </c>
      <c r="D21" s="5" t="s">
        <v>477</v>
      </c>
      <c r="E21" s="6"/>
      <c r="F21" s="6"/>
      <c r="G21" s="6"/>
      <c r="H21" s="6"/>
      <c r="I21" s="6"/>
      <c r="J21" s="3" t="str">
        <f t="shared" si="0"/>
        <v/>
      </c>
      <c r="K21" s="3" t="str">
        <f t="shared" si="1"/>
        <v/>
      </c>
      <c r="L21" s="5"/>
    </row>
    <row r="22" spans="1:12" ht="90" x14ac:dyDescent="0.25">
      <c r="A22" s="3">
        <v>21</v>
      </c>
      <c r="B22" s="3" t="s">
        <v>67</v>
      </c>
      <c r="C22" s="3" t="s">
        <v>211</v>
      </c>
      <c r="D22" s="5" t="s">
        <v>478</v>
      </c>
      <c r="E22" s="6"/>
      <c r="F22" s="6"/>
      <c r="G22" s="6"/>
      <c r="H22" s="6"/>
      <c r="I22" s="6"/>
      <c r="J22" s="3" t="str">
        <f t="shared" si="0"/>
        <v/>
      </c>
      <c r="K22" s="3" t="str">
        <f t="shared" si="1"/>
        <v/>
      </c>
      <c r="L22" s="5"/>
    </row>
    <row r="23" spans="1:12" ht="90" x14ac:dyDescent="0.25">
      <c r="A23" s="3">
        <v>22</v>
      </c>
      <c r="B23" s="3" t="s">
        <v>67</v>
      </c>
      <c r="C23" s="3" t="s">
        <v>211</v>
      </c>
      <c r="D23" s="5" t="s">
        <v>479</v>
      </c>
      <c r="E23" s="6"/>
      <c r="F23" s="6"/>
      <c r="G23" s="6"/>
      <c r="H23" s="6"/>
      <c r="I23" s="6"/>
      <c r="J23" s="3" t="str">
        <f t="shared" si="0"/>
        <v/>
      </c>
      <c r="K23" s="3" t="str">
        <f t="shared" si="1"/>
        <v/>
      </c>
      <c r="L23" s="5"/>
    </row>
    <row r="24" spans="1:12" ht="150" x14ac:dyDescent="0.25">
      <c r="A24" s="3">
        <v>23</v>
      </c>
      <c r="B24" s="3" t="s">
        <v>67</v>
      </c>
      <c r="C24" s="3" t="s">
        <v>214</v>
      </c>
      <c r="D24" s="5" t="s">
        <v>480</v>
      </c>
      <c r="E24" s="6"/>
      <c r="F24" s="6"/>
      <c r="G24" s="6"/>
      <c r="H24" s="6"/>
      <c r="I24" s="6"/>
      <c r="J24" s="3" t="str">
        <f t="shared" si="0"/>
        <v/>
      </c>
      <c r="K24" s="3" t="str">
        <f t="shared" si="1"/>
        <v/>
      </c>
      <c r="L24" s="5"/>
    </row>
    <row r="25" spans="1:12" ht="135" x14ac:dyDescent="0.25">
      <c r="A25" s="3">
        <v>24</v>
      </c>
      <c r="B25" s="3" t="s">
        <v>67</v>
      </c>
      <c r="C25" s="3" t="s">
        <v>216</v>
      </c>
      <c r="D25" s="5" t="s">
        <v>481</v>
      </c>
      <c r="E25" s="6"/>
      <c r="F25" s="6"/>
      <c r="G25" s="6"/>
      <c r="H25" s="6"/>
      <c r="I25" s="6"/>
      <c r="J25" s="3" t="str">
        <f t="shared" si="0"/>
        <v/>
      </c>
      <c r="K25" s="3" t="str">
        <f t="shared" si="1"/>
        <v/>
      </c>
      <c r="L25" s="5"/>
    </row>
    <row r="26" spans="1:12" ht="90" x14ac:dyDescent="0.25">
      <c r="A26" s="3">
        <v>25</v>
      </c>
      <c r="B26" s="3" t="s">
        <v>67</v>
      </c>
      <c r="C26" s="3" t="s">
        <v>218</v>
      </c>
      <c r="D26" s="5" t="s">
        <v>482</v>
      </c>
      <c r="E26" s="6"/>
      <c r="F26" s="6"/>
      <c r="G26" s="6"/>
      <c r="H26" s="6"/>
      <c r="I26" s="6"/>
      <c r="J26" s="3" t="str">
        <f t="shared" si="0"/>
        <v/>
      </c>
      <c r="K26" s="3" t="str">
        <f t="shared" si="1"/>
        <v/>
      </c>
      <c r="L26" s="5"/>
    </row>
    <row r="27" spans="1:12" ht="105" x14ac:dyDescent="0.25">
      <c r="A27" s="3">
        <v>26</v>
      </c>
      <c r="B27" s="3" t="s">
        <v>67</v>
      </c>
      <c r="C27" s="3" t="s">
        <v>218</v>
      </c>
      <c r="D27" s="5" t="s">
        <v>483</v>
      </c>
      <c r="E27" s="6"/>
      <c r="F27" s="6"/>
      <c r="G27" s="6"/>
      <c r="H27" s="6"/>
      <c r="I27" s="6"/>
      <c r="J27" s="3" t="str">
        <f t="shared" si="0"/>
        <v/>
      </c>
      <c r="K27" s="3" t="str">
        <f t="shared" si="1"/>
        <v/>
      </c>
      <c r="L27" s="5"/>
    </row>
    <row r="28" spans="1:12" ht="105" x14ac:dyDescent="0.25">
      <c r="A28" s="3">
        <v>27</v>
      </c>
      <c r="B28" s="3" t="s">
        <v>67</v>
      </c>
      <c r="C28" s="3" t="s">
        <v>221</v>
      </c>
      <c r="D28" s="5" t="s">
        <v>484</v>
      </c>
      <c r="E28" s="6"/>
      <c r="F28" s="6"/>
      <c r="G28" s="6"/>
      <c r="H28" s="6"/>
      <c r="I28" s="6"/>
      <c r="J28" s="3" t="str">
        <f t="shared" si="0"/>
        <v/>
      </c>
      <c r="K28" s="3" t="str">
        <f t="shared" si="1"/>
        <v/>
      </c>
      <c r="L28" s="5"/>
    </row>
    <row r="29" spans="1:12" ht="120" x14ac:dyDescent="0.25">
      <c r="A29" s="3">
        <v>28</v>
      </c>
      <c r="B29" s="3" t="s">
        <v>67</v>
      </c>
      <c r="C29" s="3" t="s">
        <v>223</v>
      </c>
      <c r="D29" s="5" t="s">
        <v>485</v>
      </c>
      <c r="E29" s="6"/>
      <c r="F29" s="6"/>
      <c r="G29" s="6"/>
      <c r="H29" s="6"/>
      <c r="I29" s="6"/>
      <c r="J29" s="3" t="str">
        <f t="shared" si="0"/>
        <v/>
      </c>
      <c r="K29" s="3" t="str">
        <f t="shared" si="1"/>
        <v/>
      </c>
      <c r="L29" s="5"/>
    </row>
    <row r="30" spans="1:12" ht="120" x14ac:dyDescent="0.25">
      <c r="A30" s="3">
        <v>29</v>
      </c>
      <c r="B30" s="3" t="s">
        <v>67</v>
      </c>
      <c r="C30" s="3" t="s">
        <v>225</v>
      </c>
      <c r="D30" s="5" t="s">
        <v>486</v>
      </c>
      <c r="E30" s="6"/>
      <c r="F30" s="6"/>
      <c r="G30" s="6"/>
      <c r="H30" s="6"/>
      <c r="I30" s="6"/>
      <c r="J30" s="3" t="str">
        <f t="shared" si="0"/>
        <v/>
      </c>
      <c r="K30" s="3" t="str">
        <f t="shared" si="1"/>
        <v/>
      </c>
      <c r="L30" s="5"/>
    </row>
    <row r="31" spans="1:12" ht="105" x14ac:dyDescent="0.25">
      <c r="A31" s="3">
        <v>30</v>
      </c>
      <c r="B31" s="3" t="s">
        <v>67</v>
      </c>
      <c r="C31" s="3" t="s">
        <v>225</v>
      </c>
      <c r="D31" s="5" t="s">
        <v>487</v>
      </c>
      <c r="E31" s="6"/>
      <c r="F31" s="6"/>
      <c r="G31" s="6"/>
      <c r="H31" s="6"/>
      <c r="I31" s="6"/>
      <c r="J31" s="3" t="str">
        <f t="shared" si="0"/>
        <v/>
      </c>
      <c r="K31" s="3" t="str">
        <f t="shared" si="1"/>
        <v/>
      </c>
      <c r="L31" s="5"/>
    </row>
    <row r="32" spans="1:12" ht="105" x14ac:dyDescent="0.25">
      <c r="A32" s="3">
        <v>31</v>
      </c>
      <c r="B32" s="3" t="s">
        <v>78</v>
      </c>
      <c r="C32" s="3" t="s">
        <v>228</v>
      </c>
      <c r="D32" s="5" t="s">
        <v>488</v>
      </c>
      <c r="E32" s="6"/>
      <c r="F32" s="6"/>
      <c r="G32" s="6"/>
      <c r="H32" s="6"/>
      <c r="I32" s="6"/>
      <c r="J32" s="3" t="str">
        <f t="shared" si="0"/>
        <v/>
      </c>
      <c r="K32" s="3" t="str">
        <f t="shared" si="1"/>
        <v/>
      </c>
      <c r="L32" s="5"/>
    </row>
    <row r="33" spans="1:12" ht="105" x14ac:dyDescent="0.25">
      <c r="A33" s="3">
        <v>32</v>
      </c>
      <c r="B33" s="3" t="s">
        <v>78</v>
      </c>
      <c r="C33" s="3" t="s">
        <v>228</v>
      </c>
      <c r="D33" s="5" t="s">
        <v>489</v>
      </c>
      <c r="E33" s="6"/>
      <c r="F33" s="6"/>
      <c r="G33" s="6"/>
      <c r="H33" s="6"/>
      <c r="I33" s="6"/>
      <c r="J33" s="3" t="str">
        <f t="shared" si="0"/>
        <v/>
      </c>
      <c r="K33" s="3" t="str">
        <f t="shared" si="1"/>
        <v/>
      </c>
      <c r="L33" s="5"/>
    </row>
    <row r="34" spans="1:12" ht="105" x14ac:dyDescent="0.25">
      <c r="A34" s="3">
        <v>33</v>
      </c>
      <c r="B34" s="3" t="s">
        <v>78</v>
      </c>
      <c r="C34" s="3" t="s">
        <v>228</v>
      </c>
      <c r="D34" s="5" t="s">
        <v>490</v>
      </c>
      <c r="E34" s="6"/>
      <c r="F34" s="6"/>
      <c r="G34" s="6"/>
      <c r="H34" s="6"/>
      <c r="I34" s="6"/>
      <c r="J34" s="3" t="str">
        <f t="shared" ref="J34:J65" si="2">IF(COUNT(E34:I34)=5,AVERAGE(E34:I34),"")</f>
        <v/>
      </c>
      <c r="K34" s="3" t="str">
        <f t="shared" ref="K34:K65" si="3">IF(J34="","",IF(J34&gt;=4,"Đạt","Không"))</f>
        <v/>
      </c>
      <c r="L34" s="5"/>
    </row>
    <row r="35" spans="1:12" ht="165" x14ac:dyDescent="0.25">
      <c r="A35" s="3">
        <v>34</v>
      </c>
      <c r="B35" s="3" t="s">
        <v>78</v>
      </c>
      <c r="C35" s="3" t="s">
        <v>232</v>
      </c>
      <c r="D35" s="5" t="s">
        <v>491</v>
      </c>
      <c r="E35" s="6"/>
      <c r="F35" s="6"/>
      <c r="G35" s="6"/>
      <c r="H35" s="6"/>
      <c r="I35" s="6"/>
      <c r="J35" s="3" t="str">
        <f t="shared" si="2"/>
        <v/>
      </c>
      <c r="K35" s="3" t="str">
        <f t="shared" si="3"/>
        <v/>
      </c>
      <c r="L35" s="5"/>
    </row>
    <row r="36" spans="1:12" ht="165" x14ac:dyDescent="0.25">
      <c r="A36" s="3">
        <v>35</v>
      </c>
      <c r="B36" s="3" t="s">
        <v>78</v>
      </c>
      <c r="C36" s="3" t="s">
        <v>232</v>
      </c>
      <c r="D36" s="5" t="s">
        <v>492</v>
      </c>
      <c r="E36" s="6"/>
      <c r="F36" s="6"/>
      <c r="G36" s="6"/>
      <c r="H36" s="6"/>
      <c r="I36" s="6"/>
      <c r="J36" s="3" t="str">
        <f t="shared" si="2"/>
        <v/>
      </c>
      <c r="K36" s="3" t="str">
        <f t="shared" si="3"/>
        <v/>
      </c>
      <c r="L36" s="5"/>
    </row>
    <row r="37" spans="1:12" ht="195" x14ac:dyDescent="0.25">
      <c r="A37" s="3">
        <v>36</v>
      </c>
      <c r="B37" s="3" t="s">
        <v>78</v>
      </c>
      <c r="C37" s="3" t="s">
        <v>235</v>
      </c>
      <c r="D37" s="5" t="s">
        <v>493</v>
      </c>
      <c r="E37" s="6"/>
      <c r="F37" s="6"/>
      <c r="G37" s="6"/>
      <c r="H37" s="6"/>
      <c r="I37" s="6"/>
      <c r="J37" s="3" t="str">
        <f t="shared" si="2"/>
        <v/>
      </c>
      <c r="K37" s="3" t="str">
        <f t="shared" si="3"/>
        <v/>
      </c>
      <c r="L37" s="5"/>
    </row>
    <row r="38" spans="1:12" ht="120" x14ac:dyDescent="0.25">
      <c r="A38" s="3">
        <v>37</v>
      </c>
      <c r="B38" s="3" t="s">
        <v>78</v>
      </c>
      <c r="C38" s="3" t="s">
        <v>237</v>
      </c>
      <c r="D38" s="5" t="s">
        <v>494</v>
      </c>
      <c r="E38" s="6"/>
      <c r="F38" s="6"/>
      <c r="G38" s="6"/>
      <c r="H38" s="6"/>
      <c r="I38" s="6"/>
      <c r="J38" s="3" t="str">
        <f t="shared" si="2"/>
        <v/>
      </c>
      <c r="K38" s="3" t="str">
        <f t="shared" si="3"/>
        <v/>
      </c>
      <c r="L38" s="5"/>
    </row>
    <row r="39" spans="1:12" ht="90" x14ac:dyDescent="0.25">
      <c r="A39" s="3">
        <v>38</v>
      </c>
      <c r="B39" s="3" t="s">
        <v>78</v>
      </c>
      <c r="C39" s="3" t="s">
        <v>237</v>
      </c>
      <c r="D39" s="5" t="s">
        <v>495</v>
      </c>
      <c r="E39" s="6"/>
      <c r="F39" s="6"/>
      <c r="G39" s="6"/>
      <c r="H39" s="6"/>
      <c r="I39" s="6"/>
      <c r="J39" s="3" t="str">
        <f t="shared" si="2"/>
        <v/>
      </c>
      <c r="K39" s="3" t="str">
        <f t="shared" si="3"/>
        <v/>
      </c>
      <c r="L39" s="5"/>
    </row>
    <row r="40" spans="1:12" ht="90" x14ac:dyDescent="0.25">
      <c r="A40" s="3">
        <v>39</v>
      </c>
      <c r="B40" s="3" t="s">
        <v>78</v>
      </c>
      <c r="C40" s="3" t="s">
        <v>237</v>
      </c>
      <c r="D40" s="5" t="s">
        <v>496</v>
      </c>
      <c r="E40" s="6"/>
      <c r="F40" s="6"/>
      <c r="G40" s="6"/>
      <c r="H40" s="6"/>
      <c r="I40" s="6"/>
      <c r="J40" s="3" t="str">
        <f t="shared" si="2"/>
        <v/>
      </c>
      <c r="K40" s="3" t="str">
        <f t="shared" si="3"/>
        <v/>
      </c>
      <c r="L40" s="5"/>
    </row>
    <row r="41" spans="1:12" ht="120" x14ac:dyDescent="0.25">
      <c r="A41" s="3">
        <v>40</v>
      </c>
      <c r="B41" s="3" t="s">
        <v>78</v>
      </c>
      <c r="C41" s="3" t="s">
        <v>241</v>
      </c>
      <c r="D41" s="5" t="s">
        <v>497</v>
      </c>
      <c r="E41" s="6"/>
      <c r="F41" s="6"/>
      <c r="G41" s="6"/>
      <c r="H41" s="6"/>
      <c r="I41" s="6"/>
      <c r="J41" s="3" t="str">
        <f t="shared" si="2"/>
        <v/>
      </c>
      <c r="K41" s="3" t="str">
        <f t="shared" si="3"/>
        <v/>
      </c>
      <c r="L41" s="5"/>
    </row>
    <row r="42" spans="1:12" ht="90" x14ac:dyDescent="0.25">
      <c r="A42" s="3">
        <v>41</v>
      </c>
      <c r="B42" s="3" t="s">
        <v>89</v>
      </c>
      <c r="C42" s="3" t="s">
        <v>243</v>
      </c>
      <c r="D42" s="5" t="s">
        <v>498</v>
      </c>
      <c r="E42" s="6"/>
      <c r="F42" s="6"/>
      <c r="G42" s="6"/>
      <c r="H42" s="6"/>
      <c r="I42" s="6"/>
      <c r="J42" s="3" t="str">
        <f t="shared" si="2"/>
        <v/>
      </c>
      <c r="K42" s="3" t="str">
        <f t="shared" si="3"/>
        <v/>
      </c>
      <c r="L42" s="5"/>
    </row>
    <row r="43" spans="1:12" ht="105" x14ac:dyDescent="0.25">
      <c r="A43" s="3">
        <v>42</v>
      </c>
      <c r="B43" s="3" t="s">
        <v>89</v>
      </c>
      <c r="C43" s="3" t="s">
        <v>243</v>
      </c>
      <c r="D43" s="5" t="s">
        <v>499</v>
      </c>
      <c r="E43" s="6"/>
      <c r="F43" s="6"/>
      <c r="G43" s="6"/>
      <c r="H43" s="6"/>
      <c r="I43" s="6"/>
      <c r="J43" s="3" t="str">
        <f t="shared" si="2"/>
        <v/>
      </c>
      <c r="K43" s="3" t="str">
        <f t="shared" si="3"/>
        <v/>
      </c>
      <c r="L43" s="5"/>
    </row>
    <row r="44" spans="1:12" ht="105" x14ac:dyDescent="0.25">
      <c r="A44" s="3">
        <v>43</v>
      </c>
      <c r="B44" s="3" t="s">
        <v>89</v>
      </c>
      <c r="C44" s="3" t="s">
        <v>246</v>
      </c>
      <c r="D44" s="5" t="s">
        <v>500</v>
      </c>
      <c r="E44" s="6"/>
      <c r="F44" s="6"/>
      <c r="G44" s="6"/>
      <c r="H44" s="6"/>
      <c r="I44" s="6"/>
      <c r="J44" s="3" t="str">
        <f t="shared" si="2"/>
        <v/>
      </c>
      <c r="K44" s="3" t="str">
        <f t="shared" si="3"/>
        <v/>
      </c>
      <c r="L44" s="5"/>
    </row>
    <row r="45" spans="1:12" ht="90" x14ac:dyDescent="0.25">
      <c r="A45" s="3">
        <v>44</v>
      </c>
      <c r="B45" s="3" t="s">
        <v>89</v>
      </c>
      <c r="C45" s="3" t="s">
        <v>248</v>
      </c>
      <c r="D45" s="5" t="s">
        <v>501</v>
      </c>
      <c r="E45" s="6"/>
      <c r="F45" s="6"/>
      <c r="G45" s="6"/>
      <c r="H45" s="6"/>
      <c r="I45" s="6"/>
      <c r="J45" s="3" t="str">
        <f t="shared" si="2"/>
        <v/>
      </c>
      <c r="K45" s="3" t="str">
        <f t="shared" si="3"/>
        <v/>
      </c>
      <c r="L45" s="5"/>
    </row>
    <row r="46" spans="1:12" ht="90" x14ac:dyDescent="0.25">
      <c r="A46" s="3">
        <v>45</v>
      </c>
      <c r="B46" s="3" t="s">
        <v>89</v>
      </c>
      <c r="C46" s="3" t="s">
        <v>248</v>
      </c>
      <c r="D46" s="5" t="s">
        <v>502</v>
      </c>
      <c r="E46" s="6"/>
      <c r="F46" s="6"/>
      <c r="G46" s="6"/>
      <c r="H46" s="6"/>
      <c r="I46" s="6"/>
      <c r="J46" s="3" t="str">
        <f t="shared" si="2"/>
        <v/>
      </c>
      <c r="K46" s="3" t="str">
        <f t="shared" si="3"/>
        <v/>
      </c>
      <c r="L46" s="5"/>
    </row>
    <row r="47" spans="1:12" ht="90" x14ac:dyDescent="0.25">
      <c r="A47" s="3">
        <v>46</v>
      </c>
      <c r="B47" s="3" t="s">
        <v>89</v>
      </c>
      <c r="C47" s="3" t="s">
        <v>248</v>
      </c>
      <c r="D47" s="5" t="s">
        <v>503</v>
      </c>
      <c r="E47" s="6"/>
      <c r="F47" s="6"/>
      <c r="G47" s="6"/>
      <c r="H47" s="6"/>
      <c r="I47" s="6"/>
      <c r="J47" s="3" t="str">
        <f t="shared" si="2"/>
        <v/>
      </c>
      <c r="K47" s="3" t="str">
        <f t="shared" si="3"/>
        <v/>
      </c>
      <c r="L47" s="5"/>
    </row>
    <row r="48" spans="1:12" ht="90" x14ac:dyDescent="0.25">
      <c r="A48" s="3">
        <v>47</v>
      </c>
      <c r="B48" s="3" t="s">
        <v>89</v>
      </c>
      <c r="C48" s="3" t="s">
        <v>252</v>
      </c>
      <c r="D48" s="5" t="s">
        <v>504</v>
      </c>
      <c r="E48" s="6"/>
      <c r="F48" s="6"/>
      <c r="G48" s="6"/>
      <c r="H48" s="6"/>
      <c r="I48" s="6"/>
      <c r="J48" s="3" t="str">
        <f t="shared" si="2"/>
        <v/>
      </c>
      <c r="K48" s="3" t="str">
        <f t="shared" si="3"/>
        <v/>
      </c>
      <c r="L48" s="5"/>
    </row>
    <row r="49" spans="1:12" ht="210" x14ac:dyDescent="0.25">
      <c r="A49" s="3">
        <v>48</v>
      </c>
      <c r="B49" s="3" t="s">
        <v>89</v>
      </c>
      <c r="C49" s="3" t="s">
        <v>252</v>
      </c>
      <c r="D49" s="5" t="s">
        <v>505</v>
      </c>
      <c r="E49" s="6"/>
      <c r="F49" s="6"/>
      <c r="G49" s="6"/>
      <c r="H49" s="6"/>
      <c r="I49" s="6"/>
      <c r="J49" s="3" t="str">
        <f t="shared" si="2"/>
        <v/>
      </c>
      <c r="K49" s="3" t="str">
        <f t="shared" si="3"/>
        <v/>
      </c>
      <c r="L49" s="5"/>
    </row>
    <row r="50" spans="1:12" ht="90" x14ac:dyDescent="0.25">
      <c r="A50" s="3">
        <v>49</v>
      </c>
      <c r="B50" s="3" t="s">
        <v>89</v>
      </c>
      <c r="C50" s="3" t="s">
        <v>252</v>
      </c>
      <c r="D50" s="5" t="s">
        <v>504</v>
      </c>
      <c r="E50" s="6"/>
      <c r="F50" s="6"/>
      <c r="G50" s="6"/>
      <c r="H50" s="6"/>
      <c r="I50" s="6"/>
      <c r="J50" s="3" t="str">
        <f t="shared" si="2"/>
        <v/>
      </c>
      <c r="K50" s="3" t="str">
        <f t="shared" si="3"/>
        <v/>
      </c>
      <c r="L50" s="5"/>
    </row>
    <row r="51" spans="1:12" ht="150" x14ac:dyDescent="0.25">
      <c r="A51" s="3">
        <v>50</v>
      </c>
      <c r="B51" s="3" t="s">
        <v>89</v>
      </c>
      <c r="C51" s="3" t="s">
        <v>252</v>
      </c>
      <c r="D51" s="5" t="s">
        <v>506</v>
      </c>
      <c r="E51" s="6"/>
      <c r="F51" s="6"/>
      <c r="G51" s="6"/>
      <c r="H51" s="6"/>
      <c r="I51" s="6"/>
      <c r="J51" s="3" t="str">
        <f t="shared" si="2"/>
        <v/>
      </c>
      <c r="K51" s="3" t="str">
        <f t="shared" si="3"/>
        <v/>
      </c>
      <c r="L51" s="5"/>
    </row>
    <row r="52" spans="1:12" ht="90" x14ac:dyDescent="0.25">
      <c r="A52" s="3">
        <v>51</v>
      </c>
      <c r="B52" s="3" t="s">
        <v>89</v>
      </c>
      <c r="C52" s="3" t="s">
        <v>252</v>
      </c>
      <c r="D52" s="5" t="s">
        <v>507</v>
      </c>
      <c r="E52" s="6"/>
      <c r="F52" s="6"/>
      <c r="G52" s="6"/>
      <c r="H52" s="6"/>
      <c r="I52" s="6"/>
      <c r="J52" s="3" t="str">
        <f t="shared" si="2"/>
        <v/>
      </c>
      <c r="K52" s="3" t="str">
        <f t="shared" si="3"/>
        <v/>
      </c>
      <c r="L52" s="5"/>
    </row>
    <row r="53" spans="1:12" ht="105" x14ac:dyDescent="0.25">
      <c r="A53" s="3">
        <v>52</v>
      </c>
      <c r="B53" s="3" t="s">
        <v>100</v>
      </c>
      <c r="C53" s="3" t="s">
        <v>259</v>
      </c>
      <c r="D53" s="5" t="s">
        <v>508</v>
      </c>
      <c r="E53" s="6"/>
      <c r="F53" s="6"/>
      <c r="G53" s="6"/>
      <c r="H53" s="6"/>
      <c r="I53" s="6"/>
      <c r="J53" s="3" t="str">
        <f t="shared" si="2"/>
        <v/>
      </c>
      <c r="K53" s="3" t="str">
        <f t="shared" si="3"/>
        <v/>
      </c>
      <c r="L53" s="5"/>
    </row>
    <row r="54" spans="1:12" ht="90" x14ac:dyDescent="0.25">
      <c r="A54" s="3">
        <v>53</v>
      </c>
      <c r="B54" s="3" t="s">
        <v>100</v>
      </c>
      <c r="C54" s="3" t="s">
        <v>259</v>
      </c>
      <c r="D54" s="5" t="s">
        <v>509</v>
      </c>
      <c r="E54" s="6"/>
      <c r="F54" s="6"/>
      <c r="G54" s="6"/>
      <c r="H54" s="6"/>
      <c r="I54" s="6"/>
      <c r="J54" s="3" t="str">
        <f t="shared" si="2"/>
        <v/>
      </c>
      <c r="K54" s="3" t="str">
        <f t="shared" si="3"/>
        <v/>
      </c>
      <c r="L54" s="5"/>
    </row>
    <row r="55" spans="1:12" ht="90" x14ac:dyDescent="0.25">
      <c r="A55" s="3">
        <v>54</v>
      </c>
      <c r="B55" s="3" t="s">
        <v>100</v>
      </c>
      <c r="C55" s="3" t="s">
        <v>259</v>
      </c>
      <c r="D55" s="5" t="s">
        <v>510</v>
      </c>
      <c r="E55" s="6"/>
      <c r="F55" s="6"/>
      <c r="G55" s="6"/>
      <c r="H55" s="6"/>
      <c r="I55" s="6"/>
      <c r="J55" s="3" t="str">
        <f t="shared" si="2"/>
        <v/>
      </c>
      <c r="K55" s="3" t="str">
        <f t="shared" si="3"/>
        <v/>
      </c>
      <c r="L55" s="5"/>
    </row>
    <row r="56" spans="1:12" ht="105" x14ac:dyDescent="0.25">
      <c r="A56" s="3">
        <v>55</v>
      </c>
      <c r="B56" s="3" t="s">
        <v>100</v>
      </c>
      <c r="C56" s="3" t="s">
        <v>259</v>
      </c>
      <c r="D56" s="5" t="s">
        <v>511</v>
      </c>
      <c r="E56" s="6"/>
      <c r="F56" s="6"/>
      <c r="G56" s="6"/>
      <c r="H56" s="6"/>
      <c r="I56" s="6"/>
      <c r="J56" s="3" t="str">
        <f t="shared" si="2"/>
        <v/>
      </c>
      <c r="K56" s="3" t="str">
        <f t="shared" si="3"/>
        <v/>
      </c>
      <c r="L56" s="5"/>
    </row>
    <row r="57" spans="1:12" ht="120" x14ac:dyDescent="0.25">
      <c r="A57" s="3">
        <v>56</v>
      </c>
      <c r="B57" s="3" t="s">
        <v>100</v>
      </c>
      <c r="C57" s="3" t="s">
        <v>264</v>
      </c>
      <c r="D57" s="5" t="s">
        <v>512</v>
      </c>
      <c r="E57" s="6"/>
      <c r="F57" s="6"/>
      <c r="G57" s="6"/>
      <c r="H57" s="6"/>
      <c r="I57" s="6"/>
      <c r="J57" s="3" t="str">
        <f t="shared" si="2"/>
        <v/>
      </c>
      <c r="K57" s="3" t="str">
        <f t="shared" si="3"/>
        <v/>
      </c>
      <c r="L57" s="5"/>
    </row>
    <row r="58" spans="1:12" ht="120" x14ac:dyDescent="0.25">
      <c r="A58" s="3">
        <v>57</v>
      </c>
      <c r="B58" s="3" t="s">
        <v>100</v>
      </c>
      <c r="C58" s="3" t="s">
        <v>264</v>
      </c>
      <c r="D58" s="5" t="s">
        <v>513</v>
      </c>
      <c r="E58" s="6"/>
      <c r="F58" s="6"/>
      <c r="G58" s="6"/>
      <c r="H58" s="6"/>
      <c r="I58" s="6"/>
      <c r="J58" s="3" t="str">
        <f t="shared" si="2"/>
        <v/>
      </c>
      <c r="K58" s="3" t="str">
        <f t="shared" si="3"/>
        <v/>
      </c>
      <c r="L58" s="5"/>
    </row>
    <row r="59" spans="1:12" ht="120" x14ac:dyDescent="0.25">
      <c r="A59" s="3">
        <v>58</v>
      </c>
      <c r="B59" s="3" t="s">
        <v>100</v>
      </c>
      <c r="C59" s="3" t="s">
        <v>264</v>
      </c>
      <c r="D59" s="5" t="s">
        <v>514</v>
      </c>
      <c r="E59" s="6"/>
      <c r="F59" s="6"/>
      <c r="G59" s="6"/>
      <c r="H59" s="6"/>
      <c r="I59" s="6"/>
      <c r="J59" s="3" t="str">
        <f t="shared" si="2"/>
        <v/>
      </c>
      <c r="K59" s="3" t="str">
        <f t="shared" si="3"/>
        <v/>
      </c>
      <c r="L59" s="5"/>
    </row>
    <row r="60" spans="1:12" ht="105" x14ac:dyDescent="0.25">
      <c r="A60" s="3">
        <v>59</v>
      </c>
      <c r="B60" s="3" t="s">
        <v>100</v>
      </c>
      <c r="C60" s="3" t="s">
        <v>268</v>
      </c>
      <c r="D60" s="5" t="s">
        <v>515</v>
      </c>
      <c r="E60" s="6"/>
      <c r="F60" s="6"/>
      <c r="G60" s="6"/>
      <c r="H60" s="6"/>
      <c r="I60" s="6"/>
      <c r="J60" s="3" t="str">
        <f t="shared" si="2"/>
        <v/>
      </c>
      <c r="K60" s="3" t="str">
        <f t="shared" si="3"/>
        <v/>
      </c>
      <c r="L60" s="5"/>
    </row>
    <row r="61" spans="1:12" ht="105" x14ac:dyDescent="0.25">
      <c r="A61" s="3">
        <v>60</v>
      </c>
      <c r="B61" s="3" t="s">
        <v>100</v>
      </c>
      <c r="C61" s="3" t="s">
        <v>268</v>
      </c>
      <c r="D61" s="5" t="s">
        <v>516</v>
      </c>
      <c r="E61" s="6"/>
      <c r="F61" s="6"/>
      <c r="G61" s="6"/>
      <c r="H61" s="6"/>
      <c r="I61" s="6"/>
      <c r="J61" s="3" t="str">
        <f t="shared" si="2"/>
        <v/>
      </c>
      <c r="K61" s="3" t="str">
        <f t="shared" si="3"/>
        <v/>
      </c>
      <c r="L61" s="5"/>
    </row>
    <row r="62" spans="1:12" ht="105" x14ac:dyDescent="0.25">
      <c r="A62" s="3">
        <v>61</v>
      </c>
      <c r="B62" s="3" t="s">
        <v>111</v>
      </c>
      <c r="C62" s="3" t="s">
        <v>271</v>
      </c>
      <c r="D62" s="5" t="s">
        <v>517</v>
      </c>
      <c r="E62" s="6"/>
      <c r="F62" s="6"/>
      <c r="G62" s="6"/>
      <c r="H62" s="6"/>
      <c r="I62" s="6"/>
      <c r="J62" s="3" t="str">
        <f t="shared" si="2"/>
        <v/>
      </c>
      <c r="K62" s="3" t="str">
        <f t="shared" si="3"/>
        <v/>
      </c>
      <c r="L62" s="5"/>
    </row>
    <row r="63" spans="1:12" ht="120" x14ac:dyDescent="0.25">
      <c r="A63" s="3">
        <v>62</v>
      </c>
      <c r="B63" s="3" t="s">
        <v>111</v>
      </c>
      <c r="C63" s="3" t="s">
        <v>271</v>
      </c>
      <c r="D63" s="5" t="s">
        <v>518</v>
      </c>
      <c r="E63" s="6"/>
      <c r="F63" s="6"/>
      <c r="G63" s="6"/>
      <c r="H63" s="6"/>
      <c r="I63" s="6"/>
      <c r="J63" s="3" t="str">
        <f t="shared" si="2"/>
        <v/>
      </c>
      <c r="K63" s="3" t="str">
        <f t="shared" si="3"/>
        <v/>
      </c>
      <c r="L63" s="5"/>
    </row>
    <row r="64" spans="1:12" ht="105" x14ac:dyDescent="0.25">
      <c r="A64" s="3">
        <v>63</v>
      </c>
      <c r="B64" s="3" t="s">
        <v>111</v>
      </c>
      <c r="C64" s="3" t="s">
        <v>274</v>
      </c>
      <c r="D64" s="5" t="s">
        <v>519</v>
      </c>
      <c r="E64" s="6"/>
      <c r="F64" s="6"/>
      <c r="G64" s="6"/>
      <c r="H64" s="6"/>
      <c r="I64" s="6"/>
      <c r="J64" s="3" t="str">
        <f t="shared" si="2"/>
        <v/>
      </c>
      <c r="K64" s="3" t="str">
        <f t="shared" si="3"/>
        <v/>
      </c>
      <c r="L64" s="5"/>
    </row>
    <row r="65" spans="1:12" ht="90" x14ac:dyDescent="0.25">
      <c r="A65" s="3">
        <v>64</v>
      </c>
      <c r="B65" s="3" t="s">
        <v>111</v>
      </c>
      <c r="C65" s="3" t="s">
        <v>274</v>
      </c>
      <c r="D65" s="5" t="s">
        <v>520</v>
      </c>
      <c r="E65" s="6"/>
      <c r="F65" s="6"/>
      <c r="G65" s="6"/>
      <c r="H65" s="6"/>
      <c r="I65" s="6"/>
      <c r="J65" s="3" t="str">
        <f t="shared" si="2"/>
        <v/>
      </c>
      <c r="K65" s="3" t="str">
        <f t="shared" si="3"/>
        <v/>
      </c>
      <c r="L65" s="5"/>
    </row>
    <row r="66" spans="1:12" ht="105" x14ac:dyDescent="0.25">
      <c r="A66" s="3">
        <v>65</v>
      </c>
      <c r="B66" s="3" t="s">
        <v>111</v>
      </c>
      <c r="C66" s="3" t="s">
        <v>277</v>
      </c>
      <c r="D66" s="5" t="s">
        <v>521</v>
      </c>
      <c r="E66" s="6"/>
      <c r="F66" s="6"/>
      <c r="G66" s="6"/>
      <c r="H66" s="6"/>
      <c r="I66" s="6"/>
      <c r="J66" s="3" t="str">
        <f t="shared" ref="J66:J97" si="4">IF(COUNT(E66:I66)=5,AVERAGE(E66:I66),"")</f>
        <v/>
      </c>
      <c r="K66" s="3" t="str">
        <f t="shared" ref="K66:K97" si="5">IF(J66="","",IF(J66&gt;=4,"Đạt","Không"))</f>
        <v/>
      </c>
      <c r="L66" s="5"/>
    </row>
    <row r="67" spans="1:12" ht="120" x14ac:dyDescent="0.25">
      <c r="A67" s="3">
        <v>66</v>
      </c>
      <c r="B67" s="3" t="s">
        <v>111</v>
      </c>
      <c r="C67" s="3" t="s">
        <v>277</v>
      </c>
      <c r="D67" s="5" t="s">
        <v>522</v>
      </c>
      <c r="E67" s="6"/>
      <c r="F67" s="6"/>
      <c r="G67" s="6"/>
      <c r="H67" s="6"/>
      <c r="I67" s="6"/>
      <c r="J67" s="3" t="str">
        <f t="shared" si="4"/>
        <v/>
      </c>
      <c r="K67" s="3" t="str">
        <f t="shared" si="5"/>
        <v/>
      </c>
      <c r="L67" s="5"/>
    </row>
    <row r="68" spans="1:12" ht="150" x14ac:dyDescent="0.25">
      <c r="A68" s="3">
        <v>67</v>
      </c>
      <c r="B68" s="3" t="s">
        <v>111</v>
      </c>
      <c r="C68" s="3" t="s">
        <v>280</v>
      </c>
      <c r="D68" s="5" t="s">
        <v>523</v>
      </c>
      <c r="E68" s="6"/>
      <c r="F68" s="6"/>
      <c r="G68" s="6"/>
      <c r="H68" s="6"/>
      <c r="I68" s="6"/>
      <c r="J68" s="3" t="str">
        <f t="shared" si="4"/>
        <v/>
      </c>
      <c r="K68" s="3" t="str">
        <f t="shared" si="5"/>
        <v/>
      </c>
      <c r="L68" s="5"/>
    </row>
    <row r="69" spans="1:12" ht="105" x14ac:dyDescent="0.25">
      <c r="A69" s="3">
        <v>68</v>
      </c>
      <c r="B69" s="3" t="s">
        <v>111</v>
      </c>
      <c r="C69" s="3" t="s">
        <v>280</v>
      </c>
      <c r="D69" s="5" t="s">
        <v>524</v>
      </c>
      <c r="E69" s="6"/>
      <c r="F69" s="6"/>
      <c r="G69" s="6"/>
      <c r="H69" s="6"/>
      <c r="I69" s="6"/>
      <c r="J69" s="3" t="str">
        <f t="shared" si="4"/>
        <v/>
      </c>
      <c r="K69" s="3" t="str">
        <f t="shared" si="5"/>
        <v/>
      </c>
      <c r="L69" s="5"/>
    </row>
    <row r="70" spans="1:12" ht="120" x14ac:dyDescent="0.25">
      <c r="A70" s="3">
        <v>69</v>
      </c>
      <c r="B70" s="3" t="s">
        <v>111</v>
      </c>
      <c r="C70" s="3" t="s">
        <v>283</v>
      </c>
      <c r="D70" s="5" t="s">
        <v>525</v>
      </c>
      <c r="E70" s="6"/>
      <c r="F70" s="6"/>
      <c r="G70" s="6"/>
      <c r="H70" s="6"/>
      <c r="I70" s="6"/>
      <c r="J70" s="3" t="str">
        <f t="shared" si="4"/>
        <v/>
      </c>
      <c r="K70" s="3" t="str">
        <f t="shared" si="5"/>
        <v/>
      </c>
      <c r="L70" s="5"/>
    </row>
    <row r="71" spans="1:12" ht="105" x14ac:dyDescent="0.25">
      <c r="A71" s="3">
        <v>70</v>
      </c>
      <c r="B71" s="3" t="s">
        <v>111</v>
      </c>
      <c r="C71" s="3" t="s">
        <v>526</v>
      </c>
      <c r="D71" s="5" t="s">
        <v>527</v>
      </c>
      <c r="E71" s="6"/>
      <c r="F71" s="6"/>
      <c r="G71" s="6"/>
      <c r="H71" s="6"/>
      <c r="I71" s="6"/>
      <c r="J71" s="3" t="str">
        <f t="shared" si="4"/>
        <v/>
      </c>
      <c r="K71" s="3" t="str">
        <f t="shared" si="5"/>
        <v/>
      </c>
      <c r="L71" s="5"/>
    </row>
    <row r="72" spans="1:12" ht="90" x14ac:dyDescent="0.25">
      <c r="A72" s="3">
        <v>71</v>
      </c>
      <c r="B72" s="3" t="s">
        <v>122</v>
      </c>
      <c r="C72" s="3" t="s">
        <v>287</v>
      </c>
      <c r="D72" s="5" t="s">
        <v>528</v>
      </c>
      <c r="E72" s="6"/>
      <c r="F72" s="6"/>
      <c r="G72" s="6"/>
      <c r="H72" s="6"/>
      <c r="I72" s="6"/>
      <c r="J72" s="3" t="str">
        <f t="shared" si="4"/>
        <v/>
      </c>
      <c r="K72" s="3" t="str">
        <f t="shared" si="5"/>
        <v/>
      </c>
      <c r="L72" s="5"/>
    </row>
    <row r="73" spans="1:12" ht="105" x14ac:dyDescent="0.25">
      <c r="A73" s="3">
        <v>72</v>
      </c>
      <c r="B73" s="3" t="s">
        <v>122</v>
      </c>
      <c r="C73" s="3" t="s">
        <v>287</v>
      </c>
      <c r="D73" s="5" t="s">
        <v>529</v>
      </c>
      <c r="E73" s="6"/>
      <c r="F73" s="6"/>
      <c r="G73" s="6"/>
      <c r="H73" s="6"/>
      <c r="I73" s="6"/>
      <c r="J73" s="3" t="str">
        <f t="shared" si="4"/>
        <v/>
      </c>
      <c r="K73" s="3" t="str">
        <f t="shared" si="5"/>
        <v/>
      </c>
      <c r="L73" s="5"/>
    </row>
    <row r="74" spans="1:12" ht="90" x14ac:dyDescent="0.25">
      <c r="A74" s="3">
        <v>73</v>
      </c>
      <c r="B74" s="3" t="s">
        <v>122</v>
      </c>
      <c r="C74" s="3" t="s">
        <v>287</v>
      </c>
      <c r="D74" s="5" t="s">
        <v>530</v>
      </c>
      <c r="E74" s="6"/>
      <c r="F74" s="6"/>
      <c r="G74" s="6"/>
      <c r="H74" s="6"/>
      <c r="I74" s="6"/>
      <c r="J74" s="3" t="str">
        <f t="shared" si="4"/>
        <v/>
      </c>
      <c r="K74" s="3" t="str">
        <f t="shared" si="5"/>
        <v/>
      </c>
      <c r="L74" s="5"/>
    </row>
    <row r="75" spans="1:12" ht="90" x14ac:dyDescent="0.25">
      <c r="A75" s="3">
        <v>74</v>
      </c>
      <c r="B75" s="3" t="s">
        <v>122</v>
      </c>
      <c r="C75" s="3" t="s">
        <v>287</v>
      </c>
      <c r="D75" s="5" t="s">
        <v>531</v>
      </c>
      <c r="E75" s="6"/>
      <c r="F75" s="6"/>
      <c r="G75" s="6"/>
      <c r="H75" s="6"/>
      <c r="I75" s="6"/>
      <c r="J75" s="3" t="str">
        <f t="shared" si="4"/>
        <v/>
      </c>
      <c r="K75" s="3" t="str">
        <f t="shared" si="5"/>
        <v/>
      </c>
      <c r="L75" s="5"/>
    </row>
    <row r="76" spans="1:12" ht="165" x14ac:dyDescent="0.25">
      <c r="A76" s="3">
        <v>75</v>
      </c>
      <c r="B76" s="3" t="s">
        <v>122</v>
      </c>
      <c r="C76" s="3" t="s">
        <v>292</v>
      </c>
      <c r="D76" s="5" t="s">
        <v>532</v>
      </c>
      <c r="E76" s="6"/>
      <c r="F76" s="6"/>
      <c r="G76" s="6"/>
      <c r="H76" s="6"/>
      <c r="I76" s="6"/>
      <c r="J76" s="3" t="str">
        <f t="shared" si="4"/>
        <v/>
      </c>
      <c r="K76" s="3" t="str">
        <f t="shared" si="5"/>
        <v/>
      </c>
      <c r="L76" s="5"/>
    </row>
    <row r="77" spans="1:12" ht="165" x14ac:dyDescent="0.25">
      <c r="A77" s="3">
        <v>76</v>
      </c>
      <c r="B77" s="3" t="s">
        <v>122</v>
      </c>
      <c r="C77" s="3" t="s">
        <v>292</v>
      </c>
      <c r="D77" s="5" t="s">
        <v>533</v>
      </c>
      <c r="E77" s="6"/>
      <c r="F77" s="6"/>
      <c r="G77" s="6"/>
      <c r="H77" s="6"/>
      <c r="I77" s="6"/>
      <c r="J77" s="3" t="str">
        <f t="shared" si="4"/>
        <v/>
      </c>
      <c r="K77" s="3" t="str">
        <f t="shared" si="5"/>
        <v/>
      </c>
      <c r="L77" s="5"/>
    </row>
    <row r="78" spans="1:12" ht="105" x14ac:dyDescent="0.25">
      <c r="A78" s="3">
        <v>77</v>
      </c>
      <c r="B78" s="3" t="s">
        <v>122</v>
      </c>
      <c r="C78" s="3" t="s">
        <v>295</v>
      </c>
      <c r="D78" s="5" t="s">
        <v>534</v>
      </c>
      <c r="E78" s="6"/>
      <c r="F78" s="6"/>
      <c r="G78" s="6"/>
      <c r="H78" s="6"/>
      <c r="I78" s="6"/>
      <c r="J78" s="3" t="str">
        <f t="shared" si="4"/>
        <v/>
      </c>
      <c r="K78" s="3" t="str">
        <f t="shared" si="5"/>
        <v/>
      </c>
      <c r="L78" s="5"/>
    </row>
    <row r="79" spans="1:12" ht="105" x14ac:dyDescent="0.25">
      <c r="A79" s="3">
        <v>78</v>
      </c>
      <c r="B79" s="3" t="s">
        <v>122</v>
      </c>
      <c r="C79" s="3" t="s">
        <v>295</v>
      </c>
      <c r="D79" s="5" t="s">
        <v>535</v>
      </c>
      <c r="E79" s="6"/>
      <c r="F79" s="6"/>
      <c r="G79" s="6"/>
      <c r="H79" s="6"/>
      <c r="I79" s="6"/>
      <c r="J79" s="3" t="str">
        <f t="shared" si="4"/>
        <v/>
      </c>
      <c r="K79" s="3" t="str">
        <f t="shared" si="5"/>
        <v/>
      </c>
      <c r="L79" s="5"/>
    </row>
    <row r="80" spans="1:12" ht="105" x14ac:dyDescent="0.25">
      <c r="A80" s="3">
        <v>79</v>
      </c>
      <c r="B80" s="3" t="s">
        <v>122</v>
      </c>
      <c r="C80" s="3" t="s">
        <v>295</v>
      </c>
      <c r="D80" s="5" t="s">
        <v>536</v>
      </c>
      <c r="E80" s="6"/>
      <c r="F80" s="6"/>
      <c r="G80" s="6"/>
      <c r="H80" s="6"/>
      <c r="I80" s="6"/>
      <c r="J80" s="3" t="str">
        <f t="shared" si="4"/>
        <v/>
      </c>
      <c r="K80" s="3" t="str">
        <f t="shared" si="5"/>
        <v/>
      </c>
      <c r="L80" s="5"/>
    </row>
    <row r="81" spans="1:12" ht="90" x14ac:dyDescent="0.25">
      <c r="A81" s="3">
        <v>80</v>
      </c>
      <c r="B81" s="3" t="s">
        <v>122</v>
      </c>
      <c r="C81" s="3" t="s">
        <v>299</v>
      </c>
      <c r="D81" s="5" t="s">
        <v>537</v>
      </c>
      <c r="E81" s="6"/>
      <c r="F81" s="6"/>
      <c r="G81" s="6"/>
      <c r="H81" s="6"/>
      <c r="I81" s="6"/>
      <c r="J81" s="3" t="str">
        <f t="shared" si="4"/>
        <v/>
      </c>
      <c r="K81" s="3" t="str">
        <f t="shared" si="5"/>
        <v/>
      </c>
      <c r="L81" s="5"/>
    </row>
    <row r="82" spans="1:12" ht="90" x14ac:dyDescent="0.25">
      <c r="A82" s="3">
        <v>81</v>
      </c>
      <c r="B82" s="3" t="s">
        <v>133</v>
      </c>
      <c r="C82" s="3" t="s">
        <v>287</v>
      </c>
      <c r="D82" s="5" t="s">
        <v>538</v>
      </c>
      <c r="E82" s="6"/>
      <c r="F82" s="6"/>
      <c r="G82" s="6"/>
      <c r="H82" s="6"/>
      <c r="I82" s="6"/>
      <c r="J82" s="3" t="str">
        <f t="shared" si="4"/>
        <v/>
      </c>
      <c r="K82" s="3" t="str">
        <f t="shared" si="5"/>
        <v/>
      </c>
      <c r="L82" s="5"/>
    </row>
    <row r="83" spans="1:12" ht="90" x14ac:dyDescent="0.25">
      <c r="A83" s="3">
        <v>82</v>
      </c>
      <c r="B83" s="3" t="s">
        <v>133</v>
      </c>
      <c r="C83" s="3" t="s">
        <v>287</v>
      </c>
      <c r="D83" s="5" t="s">
        <v>539</v>
      </c>
      <c r="E83" s="6"/>
      <c r="F83" s="6"/>
      <c r="G83" s="6"/>
      <c r="H83" s="6"/>
      <c r="I83" s="6"/>
      <c r="J83" s="3" t="str">
        <f t="shared" si="4"/>
        <v/>
      </c>
      <c r="K83" s="3" t="str">
        <f t="shared" si="5"/>
        <v/>
      </c>
      <c r="L83" s="5"/>
    </row>
    <row r="84" spans="1:12" ht="90" x14ac:dyDescent="0.25">
      <c r="A84" s="3">
        <v>83</v>
      </c>
      <c r="B84" s="3" t="s">
        <v>133</v>
      </c>
      <c r="C84" s="3" t="s">
        <v>287</v>
      </c>
      <c r="D84" s="5" t="s">
        <v>540</v>
      </c>
      <c r="E84" s="6"/>
      <c r="F84" s="6"/>
      <c r="G84" s="6"/>
      <c r="H84" s="6"/>
      <c r="I84" s="6"/>
      <c r="J84" s="3" t="str">
        <f t="shared" si="4"/>
        <v/>
      </c>
      <c r="K84" s="3" t="str">
        <f t="shared" si="5"/>
        <v/>
      </c>
      <c r="L84" s="5"/>
    </row>
    <row r="85" spans="1:12" ht="90" x14ac:dyDescent="0.25">
      <c r="A85" s="3">
        <v>84</v>
      </c>
      <c r="B85" s="3" t="s">
        <v>133</v>
      </c>
      <c r="C85" s="3" t="s">
        <v>305</v>
      </c>
      <c r="D85" s="5" t="s">
        <v>541</v>
      </c>
      <c r="E85" s="6"/>
      <c r="F85" s="6"/>
      <c r="G85" s="6"/>
      <c r="H85" s="6"/>
      <c r="I85" s="6"/>
      <c r="J85" s="3" t="str">
        <f t="shared" si="4"/>
        <v/>
      </c>
      <c r="K85" s="3" t="str">
        <f t="shared" si="5"/>
        <v/>
      </c>
      <c r="L85" s="5"/>
    </row>
    <row r="86" spans="1:12" ht="90" x14ac:dyDescent="0.25">
      <c r="A86" s="3">
        <v>85</v>
      </c>
      <c r="B86" s="3" t="s">
        <v>133</v>
      </c>
      <c r="C86" s="3" t="s">
        <v>305</v>
      </c>
      <c r="D86" s="5" t="s">
        <v>542</v>
      </c>
      <c r="E86" s="6"/>
      <c r="F86" s="6"/>
      <c r="G86" s="6"/>
      <c r="H86" s="6"/>
      <c r="I86" s="6"/>
      <c r="J86" s="3" t="str">
        <f t="shared" si="4"/>
        <v/>
      </c>
      <c r="K86" s="3" t="str">
        <f t="shared" si="5"/>
        <v/>
      </c>
      <c r="L86" s="5"/>
    </row>
    <row r="87" spans="1:12" ht="90" x14ac:dyDescent="0.25">
      <c r="A87" s="3">
        <v>86</v>
      </c>
      <c r="B87" s="3" t="s">
        <v>133</v>
      </c>
      <c r="C87" s="3" t="s">
        <v>309</v>
      </c>
      <c r="D87" s="5" t="s">
        <v>543</v>
      </c>
      <c r="E87" s="6"/>
      <c r="F87" s="6"/>
      <c r="G87" s="6"/>
      <c r="H87" s="6"/>
      <c r="I87" s="6"/>
      <c r="J87" s="3" t="str">
        <f t="shared" si="4"/>
        <v/>
      </c>
      <c r="K87" s="3" t="str">
        <f t="shared" si="5"/>
        <v/>
      </c>
      <c r="L87" s="5"/>
    </row>
    <row r="88" spans="1:12" ht="90" x14ac:dyDescent="0.25">
      <c r="A88" s="3">
        <v>87</v>
      </c>
      <c r="B88" s="3" t="s">
        <v>133</v>
      </c>
      <c r="C88" s="3" t="s">
        <v>309</v>
      </c>
      <c r="D88" s="5" t="s">
        <v>544</v>
      </c>
      <c r="E88" s="6"/>
      <c r="F88" s="6"/>
      <c r="G88" s="6"/>
      <c r="H88" s="6"/>
      <c r="I88" s="6"/>
      <c r="J88" s="3" t="str">
        <f t="shared" si="4"/>
        <v/>
      </c>
      <c r="K88" s="3" t="str">
        <f t="shared" si="5"/>
        <v/>
      </c>
      <c r="L88" s="5"/>
    </row>
    <row r="89" spans="1:12" ht="150" x14ac:dyDescent="0.25">
      <c r="A89" s="3">
        <v>88</v>
      </c>
      <c r="B89" s="3" t="s">
        <v>133</v>
      </c>
      <c r="C89" s="3" t="s">
        <v>312</v>
      </c>
      <c r="D89" s="5" t="s">
        <v>545</v>
      </c>
      <c r="E89" s="6"/>
      <c r="F89" s="6"/>
      <c r="G89" s="6"/>
      <c r="H89" s="6"/>
      <c r="I89" s="6"/>
      <c r="J89" s="3" t="str">
        <f t="shared" si="4"/>
        <v/>
      </c>
      <c r="K89" s="3" t="str">
        <f t="shared" si="5"/>
        <v/>
      </c>
      <c r="L89" s="5"/>
    </row>
    <row r="90" spans="1:12" ht="90" x14ac:dyDescent="0.25">
      <c r="A90" s="3">
        <v>89</v>
      </c>
      <c r="B90" s="3" t="s">
        <v>133</v>
      </c>
      <c r="C90" s="3" t="s">
        <v>546</v>
      </c>
      <c r="D90" s="5" t="s">
        <v>547</v>
      </c>
      <c r="E90" s="6"/>
      <c r="F90" s="6"/>
      <c r="G90" s="6"/>
      <c r="H90" s="6"/>
      <c r="I90" s="6"/>
      <c r="J90" s="3" t="str">
        <f t="shared" si="4"/>
        <v/>
      </c>
      <c r="K90" s="3" t="str">
        <f t="shared" si="5"/>
        <v/>
      </c>
      <c r="L90" s="5"/>
    </row>
    <row r="91" spans="1:12" ht="90" x14ac:dyDescent="0.25">
      <c r="A91" s="3">
        <v>90</v>
      </c>
      <c r="B91" s="3" t="s">
        <v>133</v>
      </c>
      <c r="C91" s="3" t="s">
        <v>546</v>
      </c>
      <c r="D91" s="5" t="s">
        <v>548</v>
      </c>
      <c r="E91" s="6"/>
      <c r="F91" s="6"/>
      <c r="G91" s="6"/>
      <c r="H91" s="6"/>
      <c r="I91" s="6"/>
      <c r="J91" s="3" t="str">
        <f t="shared" si="4"/>
        <v/>
      </c>
      <c r="K91" s="3" t="str">
        <f t="shared" si="5"/>
        <v/>
      </c>
      <c r="L91" s="5"/>
    </row>
    <row r="92" spans="1:12" ht="120" x14ac:dyDescent="0.25">
      <c r="A92" s="3">
        <v>91</v>
      </c>
      <c r="B92" s="3" t="s">
        <v>144</v>
      </c>
      <c r="C92" s="3" t="s">
        <v>314</v>
      </c>
      <c r="D92" s="5" t="s">
        <v>549</v>
      </c>
      <c r="E92" s="6"/>
      <c r="F92" s="6"/>
      <c r="G92" s="6"/>
      <c r="H92" s="6"/>
      <c r="I92" s="6"/>
      <c r="J92" s="3" t="str">
        <f t="shared" si="4"/>
        <v/>
      </c>
      <c r="K92" s="3" t="str">
        <f t="shared" si="5"/>
        <v/>
      </c>
      <c r="L92" s="5"/>
    </row>
    <row r="93" spans="1:12" ht="90" x14ac:dyDescent="0.25">
      <c r="A93" s="3">
        <v>92</v>
      </c>
      <c r="B93" s="3" t="s">
        <v>144</v>
      </c>
      <c r="C93" s="3" t="s">
        <v>314</v>
      </c>
      <c r="D93" s="5" t="s">
        <v>550</v>
      </c>
      <c r="E93" s="6"/>
      <c r="F93" s="6"/>
      <c r="G93" s="6"/>
      <c r="H93" s="6"/>
      <c r="I93" s="6"/>
      <c r="J93" s="3" t="str">
        <f t="shared" si="4"/>
        <v/>
      </c>
      <c r="K93" s="3" t="str">
        <f t="shared" si="5"/>
        <v/>
      </c>
      <c r="L93" s="5"/>
    </row>
    <row r="94" spans="1:12" ht="90" x14ac:dyDescent="0.25">
      <c r="A94" s="3">
        <v>93</v>
      </c>
      <c r="B94" s="3" t="s">
        <v>144</v>
      </c>
      <c r="C94" s="3" t="s">
        <v>317</v>
      </c>
      <c r="D94" s="5" t="s">
        <v>551</v>
      </c>
      <c r="E94" s="6"/>
      <c r="F94" s="6"/>
      <c r="G94" s="6"/>
      <c r="H94" s="6"/>
      <c r="I94" s="6"/>
      <c r="J94" s="3" t="str">
        <f t="shared" si="4"/>
        <v/>
      </c>
      <c r="K94" s="3" t="str">
        <f t="shared" si="5"/>
        <v/>
      </c>
      <c r="L94" s="5"/>
    </row>
    <row r="95" spans="1:12" ht="105" x14ac:dyDescent="0.25">
      <c r="A95" s="3">
        <v>94</v>
      </c>
      <c r="B95" s="3" t="s">
        <v>144</v>
      </c>
      <c r="C95" s="3" t="s">
        <v>317</v>
      </c>
      <c r="D95" s="5" t="s">
        <v>552</v>
      </c>
      <c r="E95" s="6"/>
      <c r="F95" s="6"/>
      <c r="G95" s="6"/>
      <c r="H95" s="6"/>
      <c r="I95" s="6"/>
      <c r="J95" s="3" t="str">
        <f t="shared" si="4"/>
        <v/>
      </c>
      <c r="K95" s="3" t="str">
        <f t="shared" si="5"/>
        <v/>
      </c>
      <c r="L95" s="5"/>
    </row>
    <row r="96" spans="1:12" ht="165" x14ac:dyDescent="0.25">
      <c r="A96" s="3">
        <v>95</v>
      </c>
      <c r="B96" s="3" t="s">
        <v>144</v>
      </c>
      <c r="C96" s="3" t="s">
        <v>320</v>
      </c>
      <c r="D96" s="5" t="s">
        <v>553</v>
      </c>
      <c r="E96" s="6"/>
      <c r="F96" s="6"/>
      <c r="G96" s="6"/>
      <c r="H96" s="6"/>
      <c r="I96" s="6"/>
      <c r="J96" s="3" t="str">
        <f t="shared" si="4"/>
        <v/>
      </c>
      <c r="K96" s="3" t="str">
        <f t="shared" si="5"/>
        <v/>
      </c>
      <c r="L96" s="5"/>
    </row>
    <row r="97" spans="1:12" ht="105" x14ac:dyDescent="0.25">
      <c r="A97" s="3">
        <v>96</v>
      </c>
      <c r="B97" s="3" t="s">
        <v>144</v>
      </c>
      <c r="C97" s="3" t="s">
        <v>322</v>
      </c>
      <c r="D97" s="5" t="s">
        <v>554</v>
      </c>
      <c r="E97" s="6"/>
      <c r="F97" s="6"/>
      <c r="G97" s="6"/>
      <c r="H97" s="6"/>
      <c r="I97" s="6"/>
      <c r="J97" s="3" t="str">
        <f t="shared" si="4"/>
        <v/>
      </c>
      <c r="K97" s="3" t="str">
        <f t="shared" si="5"/>
        <v/>
      </c>
      <c r="L97" s="5"/>
    </row>
    <row r="98" spans="1:12" ht="105" x14ac:dyDescent="0.25">
      <c r="A98" s="3">
        <v>97</v>
      </c>
      <c r="B98" s="3" t="s">
        <v>144</v>
      </c>
      <c r="C98" s="3" t="s">
        <v>322</v>
      </c>
      <c r="D98" s="5" t="s">
        <v>555</v>
      </c>
      <c r="E98" s="6"/>
      <c r="F98" s="6"/>
      <c r="G98" s="6"/>
      <c r="H98" s="6"/>
      <c r="I98" s="6"/>
      <c r="J98" s="3" t="str">
        <f t="shared" ref="J98:J129" si="6">IF(COUNT(E98:I98)=5,AVERAGE(E98:I98),"")</f>
        <v/>
      </c>
      <c r="K98" s="3" t="str">
        <f t="shared" ref="K98:K129" si="7">IF(J98="","",IF(J98&gt;=4,"Đạt","Không"))</f>
        <v/>
      </c>
      <c r="L98" s="5"/>
    </row>
    <row r="99" spans="1:12" ht="105" x14ac:dyDescent="0.25">
      <c r="A99" s="3">
        <v>98</v>
      </c>
      <c r="B99" s="3" t="s">
        <v>144</v>
      </c>
      <c r="C99" s="3" t="s">
        <v>325</v>
      </c>
      <c r="D99" s="5" t="s">
        <v>556</v>
      </c>
      <c r="E99" s="6"/>
      <c r="F99" s="6"/>
      <c r="G99" s="6"/>
      <c r="H99" s="6"/>
      <c r="I99" s="6"/>
      <c r="J99" s="3" t="str">
        <f t="shared" si="6"/>
        <v/>
      </c>
      <c r="K99" s="3" t="str">
        <f t="shared" si="7"/>
        <v/>
      </c>
      <c r="L99" s="5"/>
    </row>
    <row r="100" spans="1:12" ht="105" x14ac:dyDescent="0.25">
      <c r="A100" s="3">
        <v>99</v>
      </c>
      <c r="B100" s="3" t="s">
        <v>144</v>
      </c>
      <c r="C100" s="3" t="s">
        <v>325</v>
      </c>
      <c r="D100" s="5" t="s">
        <v>557</v>
      </c>
      <c r="E100" s="6"/>
      <c r="F100" s="6"/>
      <c r="G100" s="6"/>
      <c r="H100" s="6"/>
      <c r="I100" s="6"/>
      <c r="J100" s="3" t="str">
        <f t="shared" si="6"/>
        <v/>
      </c>
      <c r="K100" s="3" t="str">
        <f t="shared" si="7"/>
        <v/>
      </c>
      <c r="L100" s="5"/>
    </row>
    <row r="101" spans="1:12" ht="105" x14ac:dyDescent="0.25">
      <c r="A101" s="3">
        <v>100</v>
      </c>
      <c r="B101" s="3" t="s">
        <v>144</v>
      </c>
      <c r="C101" s="3" t="s">
        <v>325</v>
      </c>
      <c r="D101" s="5" t="s">
        <v>558</v>
      </c>
      <c r="E101" s="6"/>
      <c r="F101" s="6"/>
      <c r="G101" s="6"/>
      <c r="H101" s="6"/>
      <c r="I101" s="6"/>
      <c r="J101" s="3" t="str">
        <f t="shared" si="6"/>
        <v/>
      </c>
      <c r="K101" s="3" t="str">
        <f t="shared" si="7"/>
        <v/>
      </c>
      <c r="L101" s="5"/>
    </row>
    <row r="102" spans="1:12" ht="120" x14ac:dyDescent="0.25">
      <c r="A102" s="3">
        <v>101</v>
      </c>
      <c r="B102" s="3" t="s">
        <v>155</v>
      </c>
      <c r="C102" s="3" t="s">
        <v>559</v>
      </c>
      <c r="D102" s="5" t="s">
        <v>560</v>
      </c>
      <c r="E102" s="6"/>
      <c r="F102" s="6"/>
      <c r="G102" s="6"/>
      <c r="H102" s="6"/>
      <c r="I102" s="6"/>
      <c r="J102" s="3" t="str">
        <f t="shared" si="6"/>
        <v/>
      </c>
      <c r="K102" s="3" t="str">
        <f t="shared" si="7"/>
        <v/>
      </c>
      <c r="L102" s="5"/>
    </row>
    <row r="103" spans="1:12" ht="105" x14ac:dyDescent="0.25">
      <c r="A103" s="3">
        <v>102</v>
      </c>
      <c r="B103" s="3" t="s">
        <v>155</v>
      </c>
      <c r="C103" s="3" t="s">
        <v>559</v>
      </c>
      <c r="D103" s="5" t="s">
        <v>561</v>
      </c>
      <c r="E103" s="6"/>
      <c r="F103" s="6"/>
      <c r="G103" s="6"/>
      <c r="H103" s="6"/>
      <c r="I103" s="6"/>
      <c r="J103" s="3" t="str">
        <f t="shared" si="6"/>
        <v/>
      </c>
      <c r="K103" s="3" t="str">
        <f t="shared" si="7"/>
        <v/>
      </c>
      <c r="L103" s="5"/>
    </row>
    <row r="104" spans="1:12" ht="105" x14ac:dyDescent="0.25">
      <c r="A104" s="3">
        <v>103</v>
      </c>
      <c r="B104" s="3" t="s">
        <v>155</v>
      </c>
      <c r="C104" s="3" t="s">
        <v>562</v>
      </c>
      <c r="D104" s="5" t="s">
        <v>563</v>
      </c>
      <c r="E104" s="6"/>
      <c r="F104" s="6"/>
      <c r="G104" s="6"/>
      <c r="H104" s="6"/>
      <c r="I104" s="6"/>
      <c r="J104" s="3" t="str">
        <f t="shared" si="6"/>
        <v/>
      </c>
      <c r="K104" s="3" t="str">
        <f t="shared" si="7"/>
        <v/>
      </c>
      <c r="L104" s="5"/>
    </row>
    <row r="105" spans="1:12" ht="135" x14ac:dyDescent="0.25">
      <c r="A105" s="3">
        <v>104</v>
      </c>
      <c r="B105" s="3" t="s">
        <v>155</v>
      </c>
      <c r="C105" s="3" t="s">
        <v>564</v>
      </c>
      <c r="D105" s="5" t="s">
        <v>565</v>
      </c>
      <c r="E105" s="6"/>
      <c r="F105" s="6"/>
      <c r="G105" s="6"/>
      <c r="H105" s="6"/>
      <c r="I105" s="6"/>
      <c r="J105" s="3" t="str">
        <f t="shared" si="6"/>
        <v/>
      </c>
      <c r="K105" s="3" t="str">
        <f t="shared" si="7"/>
        <v/>
      </c>
      <c r="L105" s="5"/>
    </row>
    <row r="106" spans="1:12" ht="105" x14ac:dyDescent="0.25">
      <c r="A106" s="3">
        <v>105</v>
      </c>
      <c r="B106" s="3" t="s">
        <v>155</v>
      </c>
      <c r="C106" s="3" t="s">
        <v>564</v>
      </c>
      <c r="D106" s="5" t="s">
        <v>566</v>
      </c>
      <c r="E106" s="6"/>
      <c r="F106" s="6"/>
      <c r="G106" s="6"/>
      <c r="H106" s="6"/>
      <c r="I106" s="6"/>
      <c r="J106" s="3" t="str">
        <f t="shared" si="6"/>
        <v/>
      </c>
      <c r="K106" s="3" t="str">
        <f t="shared" si="7"/>
        <v/>
      </c>
      <c r="L106" s="5"/>
    </row>
    <row r="107" spans="1:12" ht="105" x14ac:dyDescent="0.25">
      <c r="A107" s="3">
        <v>106</v>
      </c>
      <c r="B107" s="3" t="s">
        <v>155</v>
      </c>
      <c r="C107" s="3" t="s">
        <v>567</v>
      </c>
      <c r="D107" s="5" t="s">
        <v>568</v>
      </c>
      <c r="E107" s="6"/>
      <c r="F107" s="6"/>
      <c r="G107" s="6"/>
      <c r="H107" s="6"/>
      <c r="I107" s="6"/>
      <c r="J107" s="3" t="str">
        <f t="shared" si="6"/>
        <v/>
      </c>
      <c r="K107" s="3" t="str">
        <f t="shared" si="7"/>
        <v/>
      </c>
      <c r="L107" s="5"/>
    </row>
    <row r="108" spans="1:12" ht="105" x14ac:dyDescent="0.25">
      <c r="A108" s="3">
        <v>107</v>
      </c>
      <c r="B108" s="3" t="s">
        <v>155</v>
      </c>
      <c r="C108" s="3" t="s">
        <v>569</v>
      </c>
      <c r="D108" s="5" t="s">
        <v>570</v>
      </c>
      <c r="E108" s="6"/>
      <c r="F108" s="6"/>
      <c r="G108" s="6"/>
      <c r="H108" s="6"/>
      <c r="I108" s="6"/>
      <c r="J108" s="3" t="str">
        <f t="shared" si="6"/>
        <v/>
      </c>
      <c r="K108" s="3" t="str">
        <f t="shared" si="7"/>
        <v/>
      </c>
      <c r="L108" s="5"/>
    </row>
    <row r="109" spans="1:12" ht="105" x14ac:dyDescent="0.25">
      <c r="A109" s="3">
        <v>108</v>
      </c>
      <c r="B109" s="3" t="s">
        <v>155</v>
      </c>
      <c r="C109" s="3" t="s">
        <v>571</v>
      </c>
      <c r="D109" s="5" t="s">
        <v>572</v>
      </c>
      <c r="E109" s="6"/>
      <c r="F109" s="6"/>
      <c r="G109" s="6"/>
      <c r="H109" s="6"/>
      <c r="I109" s="6"/>
      <c r="J109" s="3" t="str">
        <f t="shared" si="6"/>
        <v/>
      </c>
      <c r="K109" s="3" t="str">
        <f t="shared" si="7"/>
        <v/>
      </c>
      <c r="L109" s="5"/>
    </row>
    <row r="110" spans="1:12" ht="105" x14ac:dyDescent="0.25">
      <c r="A110" s="3">
        <v>109</v>
      </c>
      <c r="B110" s="3" t="s">
        <v>155</v>
      </c>
      <c r="C110" s="3" t="s">
        <v>571</v>
      </c>
      <c r="D110" s="5" t="s">
        <v>573</v>
      </c>
      <c r="E110" s="6"/>
      <c r="F110" s="6"/>
      <c r="G110" s="6"/>
      <c r="H110" s="6"/>
      <c r="I110" s="6"/>
      <c r="J110" s="3" t="str">
        <f t="shared" si="6"/>
        <v/>
      </c>
      <c r="K110" s="3" t="str">
        <f t="shared" si="7"/>
        <v/>
      </c>
      <c r="L110" s="5"/>
    </row>
    <row r="111" spans="1:12" ht="90" x14ac:dyDescent="0.25">
      <c r="A111" s="3">
        <v>110</v>
      </c>
      <c r="B111" s="3" t="s">
        <v>155</v>
      </c>
      <c r="C111" s="3" t="s">
        <v>574</v>
      </c>
      <c r="D111" s="5" t="s">
        <v>575</v>
      </c>
      <c r="E111" s="6"/>
      <c r="F111" s="6"/>
      <c r="G111" s="6"/>
      <c r="H111" s="6"/>
      <c r="I111" s="6"/>
      <c r="J111" s="3" t="str">
        <f t="shared" si="6"/>
        <v/>
      </c>
      <c r="K111" s="3" t="str">
        <f t="shared" si="7"/>
        <v/>
      </c>
      <c r="L111" s="5"/>
    </row>
    <row r="112" spans="1:12" ht="90" x14ac:dyDescent="0.25">
      <c r="A112" s="3">
        <v>111</v>
      </c>
      <c r="B112" s="3" t="s">
        <v>166</v>
      </c>
      <c r="C112" s="3" t="s">
        <v>334</v>
      </c>
      <c r="D112" s="5" t="s">
        <v>576</v>
      </c>
      <c r="E112" s="6"/>
      <c r="F112" s="6"/>
      <c r="G112" s="6"/>
      <c r="H112" s="6"/>
      <c r="I112" s="6"/>
      <c r="J112" s="3" t="str">
        <f t="shared" si="6"/>
        <v/>
      </c>
      <c r="K112" s="3" t="str">
        <f t="shared" si="7"/>
        <v/>
      </c>
      <c r="L112" s="5"/>
    </row>
    <row r="113" spans="1:12" ht="90" x14ac:dyDescent="0.25">
      <c r="A113" s="3">
        <v>112</v>
      </c>
      <c r="B113" s="3" t="s">
        <v>166</v>
      </c>
      <c r="C113" s="3" t="s">
        <v>334</v>
      </c>
      <c r="D113" s="5" t="s">
        <v>577</v>
      </c>
      <c r="E113" s="6"/>
      <c r="F113" s="6"/>
      <c r="G113" s="6"/>
      <c r="H113" s="6"/>
      <c r="I113" s="6"/>
      <c r="J113" s="3" t="str">
        <f t="shared" si="6"/>
        <v/>
      </c>
      <c r="K113" s="3" t="str">
        <f t="shared" si="7"/>
        <v/>
      </c>
      <c r="L113" s="5"/>
    </row>
    <row r="114" spans="1:12" ht="90" x14ac:dyDescent="0.25">
      <c r="A114" s="3">
        <v>113</v>
      </c>
      <c r="B114" s="3" t="s">
        <v>166</v>
      </c>
      <c r="C114" s="3" t="s">
        <v>334</v>
      </c>
      <c r="D114" s="5" t="s">
        <v>578</v>
      </c>
      <c r="E114" s="6"/>
      <c r="F114" s="6"/>
      <c r="G114" s="6"/>
      <c r="H114" s="6"/>
      <c r="I114" s="6"/>
      <c r="J114" s="3" t="str">
        <f t="shared" si="6"/>
        <v/>
      </c>
      <c r="K114" s="3" t="str">
        <f t="shared" si="7"/>
        <v/>
      </c>
      <c r="L114" s="5"/>
    </row>
    <row r="115" spans="1:12" ht="75" x14ac:dyDescent="0.25">
      <c r="A115" s="3">
        <v>114</v>
      </c>
      <c r="B115" s="3" t="s">
        <v>166</v>
      </c>
      <c r="C115" s="3" t="s">
        <v>334</v>
      </c>
      <c r="D115" s="5" t="s">
        <v>579</v>
      </c>
      <c r="E115" s="6"/>
      <c r="F115" s="6"/>
      <c r="G115" s="6"/>
      <c r="H115" s="6"/>
      <c r="I115" s="6"/>
      <c r="J115" s="3" t="str">
        <f t="shared" si="6"/>
        <v/>
      </c>
      <c r="K115" s="3" t="str">
        <f t="shared" si="7"/>
        <v/>
      </c>
      <c r="L115" s="5"/>
    </row>
    <row r="116" spans="1:12" ht="105" x14ac:dyDescent="0.25">
      <c r="A116" s="3">
        <v>115</v>
      </c>
      <c r="B116" s="3" t="s">
        <v>166</v>
      </c>
      <c r="C116" s="3" t="s">
        <v>339</v>
      </c>
      <c r="D116" s="5" t="s">
        <v>580</v>
      </c>
      <c r="E116" s="6"/>
      <c r="F116" s="6"/>
      <c r="G116" s="6"/>
      <c r="H116" s="6"/>
      <c r="I116" s="6"/>
      <c r="J116" s="3" t="str">
        <f t="shared" si="6"/>
        <v/>
      </c>
      <c r="K116" s="3" t="str">
        <f t="shared" si="7"/>
        <v/>
      </c>
      <c r="L116" s="5"/>
    </row>
    <row r="117" spans="1:12" ht="105" x14ac:dyDescent="0.25">
      <c r="A117" s="3">
        <v>116</v>
      </c>
      <c r="B117" s="3" t="s">
        <v>166</v>
      </c>
      <c r="C117" s="3" t="s">
        <v>339</v>
      </c>
      <c r="D117" s="5" t="s">
        <v>581</v>
      </c>
      <c r="E117" s="6"/>
      <c r="F117" s="6"/>
      <c r="G117" s="6"/>
      <c r="H117" s="6"/>
      <c r="I117" s="6"/>
      <c r="J117" s="3" t="str">
        <f t="shared" si="6"/>
        <v/>
      </c>
      <c r="K117" s="3" t="str">
        <f t="shared" si="7"/>
        <v/>
      </c>
      <c r="L117" s="5"/>
    </row>
    <row r="118" spans="1:12" ht="105" x14ac:dyDescent="0.25">
      <c r="A118" s="3">
        <v>117</v>
      </c>
      <c r="B118" s="3" t="s">
        <v>166</v>
      </c>
      <c r="C118" s="3" t="s">
        <v>339</v>
      </c>
      <c r="D118" s="5" t="s">
        <v>582</v>
      </c>
      <c r="E118" s="6"/>
      <c r="F118" s="6"/>
      <c r="G118" s="6"/>
      <c r="H118" s="6"/>
      <c r="I118" s="6"/>
      <c r="J118" s="3" t="str">
        <f t="shared" si="6"/>
        <v/>
      </c>
      <c r="K118" s="3" t="str">
        <f t="shared" si="7"/>
        <v/>
      </c>
      <c r="L118" s="5"/>
    </row>
    <row r="119" spans="1:12" ht="105" x14ac:dyDescent="0.25">
      <c r="A119" s="3">
        <v>118</v>
      </c>
      <c r="B119" s="3" t="s">
        <v>166</v>
      </c>
      <c r="C119" s="3" t="s">
        <v>343</v>
      </c>
      <c r="D119" s="5" t="s">
        <v>583</v>
      </c>
      <c r="E119" s="6"/>
      <c r="F119" s="6"/>
      <c r="G119" s="6"/>
      <c r="H119" s="6"/>
      <c r="I119" s="6"/>
      <c r="J119" s="3" t="str">
        <f t="shared" si="6"/>
        <v/>
      </c>
      <c r="K119" s="3" t="str">
        <f t="shared" si="7"/>
        <v/>
      </c>
      <c r="L119" s="5"/>
    </row>
    <row r="120" spans="1:12" ht="105" x14ac:dyDescent="0.25">
      <c r="A120" s="3">
        <v>119</v>
      </c>
      <c r="B120" s="3" t="s">
        <v>166</v>
      </c>
      <c r="C120" s="3" t="s">
        <v>343</v>
      </c>
      <c r="D120" s="5" t="s">
        <v>584</v>
      </c>
      <c r="E120" s="6"/>
      <c r="F120" s="6"/>
      <c r="G120" s="6"/>
      <c r="H120" s="6"/>
      <c r="I120" s="6"/>
      <c r="J120" s="3" t="str">
        <f t="shared" si="6"/>
        <v/>
      </c>
      <c r="K120" s="3" t="str">
        <f t="shared" si="7"/>
        <v/>
      </c>
      <c r="L120"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2"/>
  <sheetViews>
    <sheetView showGridLines="0" workbookViewId="0">
      <pane ySplit="1" topLeftCell="A2" activePane="bottomLeft" state="frozen"/>
      <selection pane="bottomLeft"/>
    </sheetView>
  </sheetViews>
  <sheetFormatPr defaultRowHeight="15" x14ac:dyDescent="0.25"/>
  <cols>
    <col min="1" max="1" width="6" customWidth="1"/>
    <col min="2" max="2" width="20" customWidth="1"/>
    <col min="3" max="3" width="30" customWidth="1"/>
    <col min="4" max="4" width="70" customWidth="1"/>
    <col min="5" max="5" width="11" customWidth="1"/>
    <col min="6" max="8" width="10" customWidth="1"/>
    <col min="9" max="10" width="9" customWidth="1"/>
    <col min="11" max="11" width="8" customWidth="1"/>
    <col min="12" max="12" width="14" customWidth="1"/>
  </cols>
  <sheetData>
    <row r="1" spans="1:12" x14ac:dyDescent="0.25">
      <c r="A1" s="2" t="s">
        <v>33</v>
      </c>
      <c r="B1" s="2" t="s">
        <v>34</v>
      </c>
      <c r="C1" s="2" t="s">
        <v>35</v>
      </c>
      <c r="D1" s="2" t="s">
        <v>36</v>
      </c>
      <c r="E1" s="2" t="s">
        <v>37</v>
      </c>
      <c r="F1" s="2" t="s">
        <v>38</v>
      </c>
      <c r="G1" s="2" t="s">
        <v>39</v>
      </c>
      <c r="H1" s="2" t="s">
        <v>40</v>
      </c>
      <c r="I1" s="2" t="s">
        <v>41</v>
      </c>
      <c r="J1" s="2" t="s">
        <v>42</v>
      </c>
      <c r="K1" s="2" t="s">
        <v>43</v>
      </c>
      <c r="L1" s="2" t="s">
        <v>44</v>
      </c>
    </row>
    <row r="2" spans="1:12" ht="150" x14ac:dyDescent="0.25">
      <c r="A2" s="3">
        <v>1</v>
      </c>
      <c r="B2" s="3" t="s">
        <v>45</v>
      </c>
      <c r="C2" s="3" t="s">
        <v>177</v>
      </c>
      <c r="D2" s="5" t="s">
        <v>457</v>
      </c>
      <c r="E2" s="6"/>
      <c r="F2" s="6"/>
      <c r="G2" s="6"/>
      <c r="H2" s="6"/>
      <c r="I2" s="6"/>
      <c r="J2" s="3" t="str">
        <f t="shared" ref="J2:J33" si="0">IF(COUNT(E2:I2)=5,AVERAGE(E2:I2),"")</f>
        <v/>
      </c>
      <c r="K2" s="3" t="str">
        <f t="shared" ref="K2:K33" si="1">IF(J2="","",IF(J2&gt;=4,"Đạt","Không"))</f>
        <v/>
      </c>
      <c r="L2" s="5"/>
    </row>
    <row r="3" spans="1:12" ht="150" x14ac:dyDescent="0.25">
      <c r="A3" s="3">
        <v>2</v>
      </c>
      <c r="B3" s="3" t="s">
        <v>45</v>
      </c>
      <c r="C3" s="3" t="s">
        <v>180</v>
      </c>
      <c r="D3" s="5" t="s">
        <v>585</v>
      </c>
      <c r="E3" s="6"/>
      <c r="F3" s="6"/>
      <c r="G3" s="6"/>
      <c r="H3" s="6"/>
      <c r="I3" s="6"/>
      <c r="J3" s="3" t="str">
        <f t="shared" si="0"/>
        <v/>
      </c>
      <c r="K3" s="3" t="str">
        <f t="shared" si="1"/>
        <v/>
      </c>
      <c r="L3" s="5"/>
    </row>
    <row r="4" spans="1:12" ht="105" x14ac:dyDescent="0.25">
      <c r="A4" s="3">
        <v>3</v>
      </c>
      <c r="B4" s="3" t="s">
        <v>45</v>
      </c>
      <c r="C4" s="3" t="s">
        <v>182</v>
      </c>
      <c r="D4" s="5" t="s">
        <v>586</v>
      </c>
      <c r="E4" s="6"/>
      <c r="F4" s="6"/>
      <c r="G4" s="6"/>
      <c r="H4" s="6"/>
      <c r="I4" s="6"/>
      <c r="J4" s="3" t="str">
        <f t="shared" si="0"/>
        <v/>
      </c>
      <c r="K4" s="3" t="str">
        <f t="shared" si="1"/>
        <v/>
      </c>
      <c r="L4" s="5"/>
    </row>
    <row r="5" spans="1:12" ht="105" x14ac:dyDescent="0.25">
      <c r="A5" s="3">
        <v>4</v>
      </c>
      <c r="B5" s="3" t="s">
        <v>45</v>
      </c>
      <c r="C5" s="3" t="s">
        <v>182</v>
      </c>
      <c r="D5" s="5" t="s">
        <v>587</v>
      </c>
      <c r="E5" s="6"/>
      <c r="F5" s="6"/>
      <c r="G5" s="6"/>
      <c r="H5" s="6"/>
      <c r="I5" s="6"/>
      <c r="J5" s="3" t="str">
        <f t="shared" si="0"/>
        <v/>
      </c>
      <c r="K5" s="3" t="str">
        <f t="shared" si="1"/>
        <v/>
      </c>
      <c r="L5" s="5"/>
    </row>
    <row r="6" spans="1:12" ht="165" x14ac:dyDescent="0.25">
      <c r="A6" s="3">
        <v>5</v>
      </c>
      <c r="B6" s="3" t="s">
        <v>45</v>
      </c>
      <c r="C6" s="3" t="s">
        <v>184</v>
      </c>
      <c r="D6" s="5" t="s">
        <v>588</v>
      </c>
      <c r="E6" s="6"/>
      <c r="F6" s="6"/>
      <c r="G6" s="6"/>
      <c r="H6" s="6"/>
      <c r="I6" s="6"/>
      <c r="J6" s="3" t="str">
        <f t="shared" si="0"/>
        <v/>
      </c>
      <c r="K6" s="3" t="str">
        <f t="shared" si="1"/>
        <v/>
      </c>
      <c r="L6" s="5"/>
    </row>
    <row r="7" spans="1:12" ht="180" x14ac:dyDescent="0.25">
      <c r="A7" s="3">
        <v>6</v>
      </c>
      <c r="B7" s="3" t="s">
        <v>45</v>
      </c>
      <c r="C7" s="3" t="s">
        <v>184</v>
      </c>
      <c r="D7" s="5" t="s">
        <v>589</v>
      </c>
      <c r="E7" s="6"/>
      <c r="F7" s="6"/>
      <c r="G7" s="6"/>
      <c r="H7" s="6"/>
      <c r="I7" s="6"/>
      <c r="J7" s="3" t="str">
        <f t="shared" si="0"/>
        <v/>
      </c>
      <c r="K7" s="3" t="str">
        <f t="shared" si="1"/>
        <v/>
      </c>
      <c r="L7" s="5"/>
    </row>
    <row r="8" spans="1:12" ht="150" x14ac:dyDescent="0.25">
      <c r="A8" s="3">
        <v>7</v>
      </c>
      <c r="B8" s="3" t="s">
        <v>45</v>
      </c>
      <c r="C8" s="3" t="s">
        <v>184</v>
      </c>
      <c r="D8" s="5" t="s">
        <v>590</v>
      </c>
      <c r="E8" s="6"/>
      <c r="F8" s="6"/>
      <c r="G8" s="6"/>
      <c r="H8" s="6"/>
      <c r="I8" s="6"/>
      <c r="J8" s="3" t="str">
        <f t="shared" si="0"/>
        <v/>
      </c>
      <c r="K8" s="3" t="str">
        <f t="shared" si="1"/>
        <v/>
      </c>
      <c r="L8" s="5"/>
    </row>
    <row r="9" spans="1:12" ht="120" x14ac:dyDescent="0.25">
      <c r="A9" s="3">
        <v>8</v>
      </c>
      <c r="B9" s="3" t="s">
        <v>45</v>
      </c>
      <c r="C9" s="3" t="s">
        <v>187</v>
      </c>
      <c r="D9" s="5" t="s">
        <v>591</v>
      </c>
      <c r="E9" s="6"/>
      <c r="F9" s="6"/>
      <c r="G9" s="6"/>
      <c r="H9" s="6"/>
      <c r="I9" s="6"/>
      <c r="J9" s="3" t="str">
        <f t="shared" si="0"/>
        <v/>
      </c>
      <c r="K9" s="3" t="str">
        <f t="shared" si="1"/>
        <v/>
      </c>
      <c r="L9" s="5"/>
    </row>
    <row r="10" spans="1:12" ht="105" x14ac:dyDescent="0.25">
      <c r="A10" s="3">
        <v>9</v>
      </c>
      <c r="B10" s="3" t="s">
        <v>45</v>
      </c>
      <c r="C10" s="3" t="s">
        <v>187</v>
      </c>
      <c r="D10" s="5" t="s">
        <v>592</v>
      </c>
      <c r="E10" s="6"/>
      <c r="F10" s="6"/>
      <c r="G10" s="6"/>
      <c r="H10" s="6"/>
      <c r="I10" s="6"/>
      <c r="J10" s="3" t="str">
        <f t="shared" si="0"/>
        <v/>
      </c>
      <c r="K10" s="3" t="str">
        <f t="shared" si="1"/>
        <v/>
      </c>
      <c r="L10" s="5"/>
    </row>
    <row r="11" spans="1:12" ht="150" x14ac:dyDescent="0.25">
      <c r="A11" s="3">
        <v>10</v>
      </c>
      <c r="B11" s="3" t="s">
        <v>45</v>
      </c>
      <c r="C11" s="3" t="s">
        <v>189</v>
      </c>
      <c r="D11" s="5" t="s">
        <v>593</v>
      </c>
      <c r="E11" s="6"/>
      <c r="F11" s="6"/>
      <c r="G11" s="6"/>
      <c r="H11" s="6"/>
      <c r="I11" s="6"/>
      <c r="J11" s="3" t="str">
        <f t="shared" si="0"/>
        <v/>
      </c>
      <c r="K11" s="3" t="str">
        <f t="shared" si="1"/>
        <v/>
      </c>
      <c r="L11" s="5"/>
    </row>
    <row r="12" spans="1:12" ht="180" x14ac:dyDescent="0.25">
      <c r="A12" s="3">
        <v>11</v>
      </c>
      <c r="B12" s="3" t="s">
        <v>56</v>
      </c>
      <c r="C12" s="3" t="s">
        <v>195</v>
      </c>
      <c r="D12" s="5" t="s">
        <v>594</v>
      </c>
      <c r="E12" s="6"/>
      <c r="F12" s="6"/>
      <c r="G12" s="6"/>
      <c r="H12" s="6"/>
      <c r="I12" s="6"/>
      <c r="J12" s="3" t="str">
        <f t="shared" si="0"/>
        <v/>
      </c>
      <c r="K12" s="3" t="str">
        <f t="shared" si="1"/>
        <v/>
      </c>
      <c r="L12" s="5"/>
    </row>
    <row r="13" spans="1:12" ht="150" x14ac:dyDescent="0.25">
      <c r="A13" s="3">
        <v>12</v>
      </c>
      <c r="B13" s="3" t="s">
        <v>56</v>
      </c>
      <c r="C13" s="3" t="s">
        <v>195</v>
      </c>
      <c r="D13" s="5" t="s">
        <v>595</v>
      </c>
      <c r="E13" s="6"/>
      <c r="F13" s="6"/>
      <c r="G13" s="6"/>
      <c r="H13" s="6"/>
      <c r="I13" s="6"/>
      <c r="J13" s="3" t="str">
        <f t="shared" si="0"/>
        <v/>
      </c>
      <c r="K13" s="3" t="str">
        <f t="shared" si="1"/>
        <v/>
      </c>
      <c r="L13" s="5"/>
    </row>
    <row r="14" spans="1:12" ht="135" x14ac:dyDescent="0.25">
      <c r="A14" s="3">
        <v>13</v>
      </c>
      <c r="B14" s="3" t="s">
        <v>56</v>
      </c>
      <c r="C14" s="3" t="s">
        <v>198</v>
      </c>
      <c r="D14" s="5" t="s">
        <v>596</v>
      </c>
      <c r="E14" s="6"/>
      <c r="F14" s="6"/>
      <c r="G14" s="6"/>
      <c r="H14" s="6"/>
      <c r="I14" s="6"/>
      <c r="J14" s="3" t="str">
        <f t="shared" si="0"/>
        <v/>
      </c>
      <c r="K14" s="3" t="str">
        <f t="shared" si="1"/>
        <v/>
      </c>
      <c r="L14" s="5"/>
    </row>
    <row r="15" spans="1:12" ht="90" x14ac:dyDescent="0.25">
      <c r="A15" s="3">
        <v>14</v>
      </c>
      <c r="B15" s="3" t="s">
        <v>56</v>
      </c>
      <c r="C15" s="3" t="s">
        <v>200</v>
      </c>
      <c r="D15" s="5" t="s">
        <v>470</v>
      </c>
      <c r="E15" s="6"/>
      <c r="F15" s="6"/>
      <c r="G15" s="6"/>
      <c r="H15" s="6"/>
      <c r="I15" s="6"/>
      <c r="J15" s="3" t="str">
        <f t="shared" si="0"/>
        <v/>
      </c>
      <c r="K15" s="3" t="str">
        <f t="shared" si="1"/>
        <v/>
      </c>
      <c r="L15" s="5"/>
    </row>
    <row r="16" spans="1:12" ht="105" x14ac:dyDescent="0.25">
      <c r="A16" s="3">
        <v>15</v>
      </c>
      <c r="B16" s="3" t="s">
        <v>56</v>
      </c>
      <c r="C16" s="3" t="s">
        <v>200</v>
      </c>
      <c r="D16" s="5" t="s">
        <v>597</v>
      </c>
      <c r="E16" s="6"/>
      <c r="F16" s="6"/>
      <c r="G16" s="6"/>
      <c r="H16" s="6"/>
      <c r="I16" s="6"/>
      <c r="J16" s="3" t="str">
        <f t="shared" si="0"/>
        <v/>
      </c>
      <c r="K16" s="3" t="str">
        <f t="shared" si="1"/>
        <v/>
      </c>
      <c r="L16" s="5"/>
    </row>
    <row r="17" spans="1:12" ht="120" x14ac:dyDescent="0.25">
      <c r="A17" s="3">
        <v>16</v>
      </c>
      <c r="B17" s="3" t="s">
        <v>56</v>
      </c>
      <c r="C17" s="3" t="s">
        <v>204</v>
      </c>
      <c r="D17" s="5" t="s">
        <v>598</v>
      </c>
      <c r="E17" s="6"/>
      <c r="F17" s="6"/>
      <c r="G17" s="6"/>
      <c r="H17" s="6"/>
      <c r="I17" s="6"/>
      <c r="J17" s="3" t="str">
        <f t="shared" si="0"/>
        <v/>
      </c>
      <c r="K17" s="3" t="str">
        <f t="shared" si="1"/>
        <v/>
      </c>
      <c r="L17" s="5"/>
    </row>
    <row r="18" spans="1:12" ht="120" x14ac:dyDescent="0.25">
      <c r="A18" s="3">
        <v>17</v>
      </c>
      <c r="B18" s="3" t="s">
        <v>56</v>
      </c>
      <c r="C18" s="3" t="s">
        <v>204</v>
      </c>
      <c r="D18" s="5" t="s">
        <v>599</v>
      </c>
      <c r="E18" s="6"/>
      <c r="F18" s="6"/>
      <c r="G18" s="6"/>
      <c r="H18" s="6"/>
      <c r="I18" s="6"/>
      <c r="J18" s="3" t="str">
        <f t="shared" si="0"/>
        <v/>
      </c>
      <c r="K18" s="3" t="str">
        <f t="shared" si="1"/>
        <v/>
      </c>
      <c r="L18" s="5"/>
    </row>
    <row r="19" spans="1:12" ht="135" x14ac:dyDescent="0.25">
      <c r="A19" s="3">
        <v>18</v>
      </c>
      <c r="B19" s="3" t="s">
        <v>56</v>
      </c>
      <c r="C19" s="3" t="s">
        <v>207</v>
      </c>
      <c r="D19" s="5" t="s">
        <v>600</v>
      </c>
      <c r="E19" s="6"/>
      <c r="F19" s="6"/>
      <c r="G19" s="6"/>
      <c r="H19" s="6"/>
      <c r="I19" s="6"/>
      <c r="J19" s="3" t="str">
        <f t="shared" si="0"/>
        <v/>
      </c>
      <c r="K19" s="3" t="str">
        <f t="shared" si="1"/>
        <v/>
      </c>
      <c r="L19" s="5"/>
    </row>
    <row r="20" spans="1:12" ht="150" x14ac:dyDescent="0.25">
      <c r="A20" s="3">
        <v>19</v>
      </c>
      <c r="B20" s="3" t="s">
        <v>56</v>
      </c>
      <c r="C20" s="3" t="s">
        <v>476</v>
      </c>
      <c r="D20" s="5" t="s">
        <v>601</v>
      </c>
      <c r="E20" s="6"/>
      <c r="F20" s="6"/>
      <c r="G20" s="6"/>
      <c r="H20" s="6"/>
      <c r="I20" s="6"/>
      <c r="J20" s="3" t="str">
        <f t="shared" si="0"/>
        <v/>
      </c>
      <c r="K20" s="3" t="str">
        <f t="shared" si="1"/>
        <v/>
      </c>
      <c r="L20" s="5"/>
    </row>
    <row r="21" spans="1:12" ht="180" x14ac:dyDescent="0.25">
      <c r="A21" s="3">
        <v>20</v>
      </c>
      <c r="B21" s="3" t="s">
        <v>56</v>
      </c>
      <c r="C21" s="3" t="s">
        <v>602</v>
      </c>
      <c r="D21" s="5" t="s">
        <v>603</v>
      </c>
      <c r="E21" s="6"/>
      <c r="F21" s="6"/>
      <c r="G21" s="6"/>
      <c r="H21" s="6"/>
      <c r="I21" s="6"/>
      <c r="J21" s="3" t="str">
        <f t="shared" si="0"/>
        <v/>
      </c>
      <c r="K21" s="3" t="str">
        <f t="shared" si="1"/>
        <v/>
      </c>
      <c r="L21" s="5"/>
    </row>
    <row r="22" spans="1:12" ht="105" x14ac:dyDescent="0.25">
      <c r="A22" s="3">
        <v>21</v>
      </c>
      <c r="B22" s="3" t="s">
        <v>67</v>
      </c>
      <c r="C22" s="3" t="s">
        <v>211</v>
      </c>
      <c r="D22" s="5" t="s">
        <v>604</v>
      </c>
      <c r="E22" s="6"/>
      <c r="F22" s="6"/>
      <c r="G22" s="6"/>
      <c r="H22" s="6"/>
      <c r="I22" s="6"/>
      <c r="J22" s="3" t="str">
        <f t="shared" si="0"/>
        <v/>
      </c>
      <c r="K22" s="3" t="str">
        <f t="shared" si="1"/>
        <v/>
      </c>
      <c r="L22" s="5"/>
    </row>
    <row r="23" spans="1:12" ht="90" x14ac:dyDescent="0.25">
      <c r="A23" s="3">
        <v>22</v>
      </c>
      <c r="B23" s="3" t="s">
        <v>67</v>
      </c>
      <c r="C23" s="3" t="s">
        <v>211</v>
      </c>
      <c r="D23" s="5" t="s">
        <v>605</v>
      </c>
      <c r="E23" s="6"/>
      <c r="F23" s="6"/>
      <c r="G23" s="6"/>
      <c r="H23" s="6"/>
      <c r="I23" s="6"/>
      <c r="J23" s="3" t="str">
        <f t="shared" si="0"/>
        <v/>
      </c>
      <c r="K23" s="3" t="str">
        <f t="shared" si="1"/>
        <v/>
      </c>
      <c r="L23" s="5"/>
    </row>
    <row r="24" spans="1:12" ht="150" x14ac:dyDescent="0.25">
      <c r="A24" s="3">
        <v>23</v>
      </c>
      <c r="B24" s="3" t="s">
        <v>67</v>
      </c>
      <c r="C24" s="3" t="s">
        <v>214</v>
      </c>
      <c r="D24" s="5" t="s">
        <v>606</v>
      </c>
      <c r="E24" s="6"/>
      <c r="F24" s="6"/>
      <c r="G24" s="6"/>
      <c r="H24" s="6"/>
      <c r="I24" s="6"/>
      <c r="J24" s="3" t="str">
        <f t="shared" si="0"/>
        <v/>
      </c>
      <c r="K24" s="3" t="str">
        <f t="shared" si="1"/>
        <v/>
      </c>
      <c r="L24" s="5"/>
    </row>
    <row r="25" spans="1:12" ht="120" x14ac:dyDescent="0.25">
      <c r="A25" s="3">
        <v>24</v>
      </c>
      <c r="B25" s="3" t="s">
        <v>67</v>
      </c>
      <c r="C25" s="3" t="s">
        <v>216</v>
      </c>
      <c r="D25" s="5" t="s">
        <v>607</v>
      </c>
      <c r="E25" s="6"/>
      <c r="F25" s="6"/>
      <c r="G25" s="6"/>
      <c r="H25" s="6"/>
      <c r="I25" s="6"/>
      <c r="J25" s="3" t="str">
        <f t="shared" si="0"/>
        <v/>
      </c>
      <c r="K25" s="3" t="str">
        <f t="shared" si="1"/>
        <v/>
      </c>
      <c r="L25" s="5"/>
    </row>
    <row r="26" spans="1:12" ht="105" x14ac:dyDescent="0.25">
      <c r="A26" s="3">
        <v>25</v>
      </c>
      <c r="B26" s="3" t="s">
        <v>67</v>
      </c>
      <c r="C26" s="3" t="s">
        <v>218</v>
      </c>
      <c r="D26" s="5" t="s">
        <v>608</v>
      </c>
      <c r="E26" s="6"/>
      <c r="F26" s="6"/>
      <c r="G26" s="6"/>
      <c r="H26" s="6"/>
      <c r="I26" s="6"/>
      <c r="J26" s="3" t="str">
        <f t="shared" si="0"/>
        <v/>
      </c>
      <c r="K26" s="3" t="str">
        <f t="shared" si="1"/>
        <v/>
      </c>
      <c r="L26" s="5"/>
    </row>
    <row r="27" spans="1:12" ht="105" x14ac:dyDescent="0.25">
      <c r="A27" s="3">
        <v>26</v>
      </c>
      <c r="B27" s="3" t="s">
        <v>67</v>
      </c>
      <c r="C27" s="3" t="s">
        <v>218</v>
      </c>
      <c r="D27" s="5" t="s">
        <v>609</v>
      </c>
      <c r="E27" s="6"/>
      <c r="F27" s="6"/>
      <c r="G27" s="6"/>
      <c r="H27" s="6"/>
      <c r="I27" s="6"/>
      <c r="J27" s="3" t="str">
        <f t="shared" si="0"/>
        <v/>
      </c>
      <c r="K27" s="3" t="str">
        <f t="shared" si="1"/>
        <v/>
      </c>
      <c r="L27" s="5"/>
    </row>
    <row r="28" spans="1:12" ht="150" x14ac:dyDescent="0.25">
      <c r="A28" s="3">
        <v>27</v>
      </c>
      <c r="B28" s="3" t="s">
        <v>67</v>
      </c>
      <c r="C28" s="3" t="s">
        <v>221</v>
      </c>
      <c r="D28" s="5" t="s">
        <v>610</v>
      </c>
      <c r="E28" s="6"/>
      <c r="F28" s="6"/>
      <c r="G28" s="6"/>
      <c r="H28" s="6"/>
      <c r="I28" s="6"/>
      <c r="J28" s="3" t="str">
        <f t="shared" si="0"/>
        <v/>
      </c>
      <c r="K28" s="3" t="str">
        <f t="shared" si="1"/>
        <v/>
      </c>
      <c r="L28" s="5"/>
    </row>
    <row r="29" spans="1:12" ht="120" x14ac:dyDescent="0.25">
      <c r="A29" s="3">
        <v>28</v>
      </c>
      <c r="B29" s="3" t="s">
        <v>67</v>
      </c>
      <c r="C29" s="3" t="s">
        <v>223</v>
      </c>
      <c r="D29" s="5" t="s">
        <v>611</v>
      </c>
      <c r="E29" s="6"/>
      <c r="F29" s="6"/>
      <c r="G29" s="6"/>
      <c r="H29" s="6"/>
      <c r="I29" s="6"/>
      <c r="J29" s="3" t="str">
        <f t="shared" si="0"/>
        <v/>
      </c>
      <c r="K29" s="3" t="str">
        <f t="shared" si="1"/>
        <v/>
      </c>
      <c r="L29" s="5"/>
    </row>
    <row r="30" spans="1:12" ht="105" x14ac:dyDescent="0.25">
      <c r="A30" s="3">
        <v>29</v>
      </c>
      <c r="B30" s="3" t="s">
        <v>67</v>
      </c>
      <c r="C30" s="3" t="s">
        <v>225</v>
      </c>
      <c r="D30" s="5" t="s">
        <v>612</v>
      </c>
      <c r="E30" s="6"/>
      <c r="F30" s="6"/>
      <c r="G30" s="6"/>
      <c r="H30" s="6"/>
      <c r="I30" s="6"/>
      <c r="J30" s="3" t="str">
        <f t="shared" si="0"/>
        <v/>
      </c>
      <c r="K30" s="3" t="str">
        <f t="shared" si="1"/>
        <v/>
      </c>
      <c r="L30" s="5"/>
    </row>
    <row r="31" spans="1:12" ht="105" x14ac:dyDescent="0.25">
      <c r="A31" s="3">
        <v>30</v>
      </c>
      <c r="B31" s="3" t="s">
        <v>67</v>
      </c>
      <c r="C31" s="3" t="s">
        <v>225</v>
      </c>
      <c r="D31" s="5" t="s">
        <v>613</v>
      </c>
      <c r="E31" s="6"/>
      <c r="F31" s="6"/>
      <c r="G31" s="6"/>
      <c r="H31" s="6"/>
      <c r="I31" s="6"/>
      <c r="J31" s="3" t="str">
        <f t="shared" si="0"/>
        <v/>
      </c>
      <c r="K31" s="3" t="str">
        <f t="shared" si="1"/>
        <v/>
      </c>
      <c r="L31" s="5"/>
    </row>
    <row r="32" spans="1:12" ht="105" x14ac:dyDescent="0.25">
      <c r="A32" s="3">
        <v>31</v>
      </c>
      <c r="B32" s="3" t="s">
        <v>78</v>
      </c>
      <c r="C32" s="3" t="s">
        <v>228</v>
      </c>
      <c r="D32" s="5" t="s">
        <v>488</v>
      </c>
      <c r="E32" s="6"/>
      <c r="F32" s="6"/>
      <c r="G32" s="6"/>
      <c r="H32" s="6"/>
      <c r="I32" s="6"/>
      <c r="J32" s="3" t="str">
        <f t="shared" si="0"/>
        <v/>
      </c>
      <c r="K32" s="3" t="str">
        <f t="shared" si="1"/>
        <v/>
      </c>
      <c r="L32" s="5"/>
    </row>
    <row r="33" spans="1:12" ht="105" x14ac:dyDescent="0.25">
      <c r="A33" s="3">
        <v>32</v>
      </c>
      <c r="B33" s="3" t="s">
        <v>78</v>
      </c>
      <c r="C33" s="3" t="s">
        <v>228</v>
      </c>
      <c r="D33" s="5" t="s">
        <v>489</v>
      </c>
      <c r="E33" s="6"/>
      <c r="F33" s="6"/>
      <c r="G33" s="6"/>
      <c r="H33" s="6"/>
      <c r="I33" s="6"/>
      <c r="J33" s="3" t="str">
        <f t="shared" si="0"/>
        <v/>
      </c>
      <c r="K33" s="3" t="str">
        <f t="shared" si="1"/>
        <v/>
      </c>
      <c r="L33" s="5"/>
    </row>
    <row r="34" spans="1:12" ht="105" x14ac:dyDescent="0.25">
      <c r="A34" s="3">
        <v>33</v>
      </c>
      <c r="B34" s="3" t="s">
        <v>78</v>
      </c>
      <c r="C34" s="3" t="s">
        <v>228</v>
      </c>
      <c r="D34" s="5" t="s">
        <v>490</v>
      </c>
      <c r="E34" s="6"/>
      <c r="F34" s="6"/>
      <c r="G34" s="6"/>
      <c r="H34" s="6"/>
      <c r="I34" s="6"/>
      <c r="J34" s="3" t="str">
        <f t="shared" ref="J34:J65" si="2">IF(COUNT(E34:I34)=5,AVERAGE(E34:I34),"")</f>
        <v/>
      </c>
      <c r="K34" s="3" t="str">
        <f t="shared" ref="K34:K65" si="3">IF(J34="","",IF(J34&gt;=4,"Đạt","Không"))</f>
        <v/>
      </c>
      <c r="L34" s="5"/>
    </row>
    <row r="35" spans="1:12" ht="165" x14ac:dyDescent="0.25">
      <c r="A35" s="3">
        <v>34</v>
      </c>
      <c r="B35" s="3" t="s">
        <v>78</v>
      </c>
      <c r="C35" s="3" t="s">
        <v>232</v>
      </c>
      <c r="D35" s="5" t="s">
        <v>614</v>
      </c>
      <c r="E35" s="6"/>
      <c r="F35" s="6"/>
      <c r="G35" s="6"/>
      <c r="H35" s="6"/>
      <c r="I35" s="6"/>
      <c r="J35" s="3" t="str">
        <f t="shared" si="2"/>
        <v/>
      </c>
      <c r="K35" s="3" t="str">
        <f t="shared" si="3"/>
        <v/>
      </c>
      <c r="L35" s="5"/>
    </row>
    <row r="36" spans="1:12" ht="225" x14ac:dyDescent="0.25">
      <c r="A36" s="3">
        <v>35</v>
      </c>
      <c r="B36" s="3" t="s">
        <v>78</v>
      </c>
      <c r="C36" s="3" t="s">
        <v>235</v>
      </c>
      <c r="D36" s="5" t="s">
        <v>615</v>
      </c>
      <c r="E36" s="6"/>
      <c r="F36" s="6"/>
      <c r="G36" s="6"/>
      <c r="H36" s="6"/>
      <c r="I36" s="6"/>
      <c r="J36" s="3" t="str">
        <f t="shared" si="2"/>
        <v/>
      </c>
      <c r="K36" s="3" t="str">
        <f t="shared" si="3"/>
        <v/>
      </c>
      <c r="L36" s="5"/>
    </row>
    <row r="37" spans="1:12" ht="105" x14ac:dyDescent="0.25">
      <c r="A37" s="3">
        <v>36</v>
      </c>
      <c r="B37" s="3" t="s">
        <v>78</v>
      </c>
      <c r="C37" s="3" t="s">
        <v>237</v>
      </c>
      <c r="D37" s="5" t="s">
        <v>616</v>
      </c>
      <c r="E37" s="6"/>
      <c r="F37" s="6"/>
      <c r="G37" s="6"/>
      <c r="H37" s="6"/>
      <c r="I37" s="6"/>
      <c r="J37" s="3" t="str">
        <f t="shared" si="2"/>
        <v/>
      </c>
      <c r="K37" s="3" t="str">
        <f t="shared" si="3"/>
        <v/>
      </c>
      <c r="L37" s="5"/>
    </row>
    <row r="38" spans="1:12" ht="105" x14ac:dyDescent="0.25">
      <c r="A38" s="3">
        <v>37</v>
      </c>
      <c r="B38" s="3" t="s">
        <v>78</v>
      </c>
      <c r="C38" s="3" t="s">
        <v>237</v>
      </c>
      <c r="D38" s="5" t="s">
        <v>617</v>
      </c>
      <c r="E38" s="6"/>
      <c r="F38" s="6"/>
      <c r="G38" s="6"/>
      <c r="H38" s="6"/>
      <c r="I38" s="6"/>
      <c r="J38" s="3" t="str">
        <f t="shared" si="2"/>
        <v/>
      </c>
      <c r="K38" s="3" t="str">
        <f t="shared" si="3"/>
        <v/>
      </c>
      <c r="L38" s="5"/>
    </row>
    <row r="39" spans="1:12" ht="105" x14ac:dyDescent="0.25">
      <c r="A39" s="3">
        <v>38</v>
      </c>
      <c r="B39" s="3" t="s">
        <v>78</v>
      </c>
      <c r="C39" s="3" t="s">
        <v>237</v>
      </c>
      <c r="D39" s="5" t="s">
        <v>618</v>
      </c>
      <c r="E39" s="6"/>
      <c r="F39" s="6"/>
      <c r="G39" s="6"/>
      <c r="H39" s="6"/>
      <c r="I39" s="6"/>
      <c r="J39" s="3" t="str">
        <f t="shared" si="2"/>
        <v/>
      </c>
      <c r="K39" s="3" t="str">
        <f t="shared" si="3"/>
        <v/>
      </c>
      <c r="L39" s="5"/>
    </row>
    <row r="40" spans="1:12" ht="120" x14ac:dyDescent="0.25">
      <c r="A40" s="3">
        <v>39</v>
      </c>
      <c r="B40" s="3" t="s">
        <v>78</v>
      </c>
      <c r="C40" s="3" t="s">
        <v>241</v>
      </c>
      <c r="D40" s="5" t="s">
        <v>619</v>
      </c>
      <c r="E40" s="6"/>
      <c r="F40" s="6"/>
      <c r="G40" s="6"/>
      <c r="H40" s="6"/>
      <c r="I40" s="6"/>
      <c r="J40" s="3" t="str">
        <f t="shared" si="2"/>
        <v/>
      </c>
      <c r="K40" s="3" t="str">
        <f t="shared" si="3"/>
        <v/>
      </c>
      <c r="L40" s="5"/>
    </row>
    <row r="41" spans="1:12" ht="105" x14ac:dyDescent="0.25">
      <c r="A41" s="3">
        <v>40</v>
      </c>
      <c r="B41" s="3" t="s">
        <v>78</v>
      </c>
      <c r="C41" s="3" t="s">
        <v>620</v>
      </c>
      <c r="D41" s="5" t="s">
        <v>621</v>
      </c>
      <c r="E41" s="6"/>
      <c r="F41" s="6"/>
      <c r="G41" s="6"/>
      <c r="H41" s="6"/>
      <c r="I41" s="6"/>
      <c r="J41" s="3" t="str">
        <f t="shared" si="2"/>
        <v/>
      </c>
      <c r="K41" s="3" t="str">
        <f t="shared" si="3"/>
        <v/>
      </c>
      <c r="L41" s="5"/>
    </row>
    <row r="42" spans="1:12" ht="105" x14ac:dyDescent="0.25">
      <c r="A42" s="3">
        <v>41</v>
      </c>
      <c r="B42" s="3" t="s">
        <v>89</v>
      </c>
      <c r="C42" s="3" t="s">
        <v>243</v>
      </c>
      <c r="D42" s="5" t="s">
        <v>622</v>
      </c>
      <c r="E42" s="6"/>
      <c r="F42" s="6"/>
      <c r="G42" s="6"/>
      <c r="H42" s="6"/>
      <c r="I42" s="6"/>
      <c r="J42" s="3" t="str">
        <f t="shared" si="2"/>
        <v/>
      </c>
      <c r="K42" s="3" t="str">
        <f t="shared" si="3"/>
        <v/>
      </c>
      <c r="L42" s="5"/>
    </row>
    <row r="43" spans="1:12" ht="105" x14ac:dyDescent="0.25">
      <c r="A43" s="3">
        <v>42</v>
      </c>
      <c r="B43" s="3" t="s">
        <v>89</v>
      </c>
      <c r="C43" s="3" t="s">
        <v>243</v>
      </c>
      <c r="D43" s="5" t="s">
        <v>623</v>
      </c>
      <c r="E43" s="6"/>
      <c r="F43" s="6"/>
      <c r="G43" s="6"/>
      <c r="H43" s="6"/>
      <c r="I43" s="6"/>
      <c r="J43" s="3" t="str">
        <f t="shared" si="2"/>
        <v/>
      </c>
      <c r="K43" s="3" t="str">
        <f t="shared" si="3"/>
        <v/>
      </c>
      <c r="L43" s="5"/>
    </row>
    <row r="44" spans="1:12" ht="105" x14ac:dyDescent="0.25">
      <c r="A44" s="3">
        <v>43</v>
      </c>
      <c r="B44" s="3" t="s">
        <v>89</v>
      </c>
      <c r="C44" s="3" t="s">
        <v>246</v>
      </c>
      <c r="D44" s="5" t="s">
        <v>624</v>
      </c>
      <c r="E44" s="6"/>
      <c r="F44" s="6"/>
      <c r="G44" s="6"/>
      <c r="H44" s="6"/>
      <c r="I44" s="6"/>
      <c r="J44" s="3" t="str">
        <f t="shared" si="2"/>
        <v/>
      </c>
      <c r="K44" s="3" t="str">
        <f t="shared" si="3"/>
        <v/>
      </c>
      <c r="L44" s="5"/>
    </row>
    <row r="45" spans="1:12" ht="90" x14ac:dyDescent="0.25">
      <c r="A45" s="3">
        <v>44</v>
      </c>
      <c r="B45" s="3" t="s">
        <v>89</v>
      </c>
      <c r="C45" s="3" t="s">
        <v>248</v>
      </c>
      <c r="D45" s="5" t="s">
        <v>625</v>
      </c>
      <c r="E45" s="6"/>
      <c r="F45" s="6"/>
      <c r="G45" s="6"/>
      <c r="H45" s="6"/>
      <c r="I45" s="6"/>
      <c r="J45" s="3" t="str">
        <f t="shared" si="2"/>
        <v/>
      </c>
      <c r="K45" s="3" t="str">
        <f t="shared" si="3"/>
        <v/>
      </c>
      <c r="L45" s="5"/>
    </row>
    <row r="46" spans="1:12" ht="90" x14ac:dyDescent="0.25">
      <c r="A46" s="3">
        <v>45</v>
      </c>
      <c r="B46" s="3" t="s">
        <v>89</v>
      </c>
      <c r="C46" s="3" t="s">
        <v>248</v>
      </c>
      <c r="D46" s="5" t="s">
        <v>626</v>
      </c>
      <c r="E46" s="6"/>
      <c r="F46" s="6"/>
      <c r="G46" s="6"/>
      <c r="H46" s="6"/>
      <c r="I46" s="6"/>
      <c r="J46" s="3" t="str">
        <f t="shared" si="2"/>
        <v/>
      </c>
      <c r="K46" s="3" t="str">
        <f t="shared" si="3"/>
        <v/>
      </c>
      <c r="L46" s="5"/>
    </row>
    <row r="47" spans="1:12" ht="105" x14ac:dyDescent="0.25">
      <c r="A47" s="3">
        <v>46</v>
      </c>
      <c r="B47" s="3" t="s">
        <v>89</v>
      </c>
      <c r="C47" s="3" t="s">
        <v>252</v>
      </c>
      <c r="D47" s="5" t="s">
        <v>627</v>
      </c>
      <c r="E47" s="6"/>
      <c r="F47" s="6"/>
      <c r="G47" s="6"/>
      <c r="H47" s="6"/>
      <c r="I47" s="6"/>
      <c r="J47" s="3" t="str">
        <f t="shared" si="2"/>
        <v/>
      </c>
      <c r="K47" s="3" t="str">
        <f t="shared" si="3"/>
        <v/>
      </c>
      <c r="L47" s="5"/>
    </row>
    <row r="48" spans="1:12" ht="135" x14ac:dyDescent="0.25">
      <c r="A48" s="3">
        <v>47</v>
      </c>
      <c r="B48" s="3" t="s">
        <v>89</v>
      </c>
      <c r="C48" s="3" t="s">
        <v>252</v>
      </c>
      <c r="D48" s="5" t="s">
        <v>628</v>
      </c>
      <c r="E48" s="6"/>
      <c r="F48" s="6"/>
      <c r="G48" s="6"/>
      <c r="H48" s="6"/>
      <c r="I48" s="6"/>
      <c r="J48" s="3" t="str">
        <f t="shared" si="2"/>
        <v/>
      </c>
      <c r="K48" s="3" t="str">
        <f t="shared" si="3"/>
        <v/>
      </c>
      <c r="L48" s="5"/>
    </row>
    <row r="49" spans="1:12" ht="90" x14ac:dyDescent="0.25">
      <c r="A49" s="3">
        <v>48</v>
      </c>
      <c r="B49" s="3" t="s">
        <v>89</v>
      </c>
      <c r="C49" s="3" t="s">
        <v>255</v>
      </c>
      <c r="D49" s="5" t="s">
        <v>629</v>
      </c>
      <c r="E49" s="6"/>
      <c r="F49" s="6"/>
      <c r="G49" s="6"/>
      <c r="H49" s="6"/>
      <c r="I49" s="6"/>
      <c r="J49" s="3" t="str">
        <f t="shared" si="2"/>
        <v/>
      </c>
      <c r="K49" s="3" t="str">
        <f t="shared" si="3"/>
        <v/>
      </c>
      <c r="L49" s="5"/>
    </row>
    <row r="50" spans="1:12" ht="165" x14ac:dyDescent="0.25">
      <c r="A50" s="3">
        <v>49</v>
      </c>
      <c r="B50" s="3" t="s">
        <v>89</v>
      </c>
      <c r="C50" s="3" t="s">
        <v>257</v>
      </c>
      <c r="D50" s="5" t="s">
        <v>630</v>
      </c>
      <c r="E50" s="6"/>
      <c r="F50" s="6"/>
      <c r="G50" s="6"/>
      <c r="H50" s="6"/>
      <c r="I50" s="6"/>
      <c r="J50" s="3" t="str">
        <f t="shared" si="2"/>
        <v/>
      </c>
      <c r="K50" s="3" t="str">
        <f t="shared" si="3"/>
        <v/>
      </c>
      <c r="L50" s="5"/>
    </row>
    <row r="51" spans="1:12" ht="165" x14ac:dyDescent="0.25">
      <c r="A51" s="3">
        <v>50</v>
      </c>
      <c r="B51" s="3" t="s">
        <v>89</v>
      </c>
      <c r="C51" s="3" t="s">
        <v>631</v>
      </c>
      <c r="D51" s="5" t="s">
        <v>632</v>
      </c>
      <c r="E51" s="6"/>
      <c r="F51" s="6"/>
      <c r="G51" s="6"/>
      <c r="H51" s="6"/>
      <c r="I51" s="6"/>
      <c r="J51" s="3" t="str">
        <f t="shared" si="2"/>
        <v/>
      </c>
      <c r="K51" s="3" t="str">
        <f t="shared" si="3"/>
        <v/>
      </c>
      <c r="L51" s="5"/>
    </row>
    <row r="52" spans="1:12" ht="105" x14ac:dyDescent="0.25">
      <c r="A52" s="3">
        <v>51</v>
      </c>
      <c r="B52" s="3" t="s">
        <v>100</v>
      </c>
      <c r="C52" s="3" t="s">
        <v>259</v>
      </c>
      <c r="D52" s="5" t="s">
        <v>508</v>
      </c>
      <c r="E52" s="6"/>
      <c r="F52" s="6"/>
      <c r="G52" s="6"/>
      <c r="H52" s="6"/>
      <c r="I52" s="6"/>
      <c r="J52" s="3" t="str">
        <f t="shared" si="2"/>
        <v/>
      </c>
      <c r="K52" s="3" t="str">
        <f t="shared" si="3"/>
        <v/>
      </c>
      <c r="L52" s="5"/>
    </row>
    <row r="53" spans="1:12" ht="90" x14ac:dyDescent="0.25">
      <c r="A53" s="3">
        <v>52</v>
      </c>
      <c r="B53" s="3" t="s">
        <v>100</v>
      </c>
      <c r="C53" s="3" t="s">
        <v>259</v>
      </c>
      <c r="D53" s="5" t="s">
        <v>509</v>
      </c>
      <c r="E53" s="6"/>
      <c r="F53" s="6"/>
      <c r="G53" s="6"/>
      <c r="H53" s="6"/>
      <c r="I53" s="6"/>
      <c r="J53" s="3" t="str">
        <f t="shared" si="2"/>
        <v/>
      </c>
      <c r="K53" s="3" t="str">
        <f t="shared" si="3"/>
        <v/>
      </c>
      <c r="L53" s="5"/>
    </row>
    <row r="54" spans="1:12" ht="90" x14ac:dyDescent="0.25">
      <c r="A54" s="3">
        <v>53</v>
      </c>
      <c r="B54" s="3" t="s">
        <v>100</v>
      </c>
      <c r="C54" s="3" t="s">
        <v>259</v>
      </c>
      <c r="D54" s="5" t="s">
        <v>510</v>
      </c>
      <c r="E54" s="6"/>
      <c r="F54" s="6"/>
      <c r="G54" s="6"/>
      <c r="H54" s="6"/>
      <c r="I54" s="6"/>
      <c r="J54" s="3" t="str">
        <f t="shared" si="2"/>
        <v/>
      </c>
      <c r="K54" s="3" t="str">
        <f t="shared" si="3"/>
        <v/>
      </c>
      <c r="L54" s="5"/>
    </row>
    <row r="55" spans="1:12" ht="105" x14ac:dyDescent="0.25">
      <c r="A55" s="3">
        <v>54</v>
      </c>
      <c r="B55" s="3" t="s">
        <v>100</v>
      </c>
      <c r="C55" s="3" t="s">
        <v>259</v>
      </c>
      <c r="D55" s="5" t="s">
        <v>511</v>
      </c>
      <c r="E55" s="6"/>
      <c r="F55" s="6"/>
      <c r="G55" s="6"/>
      <c r="H55" s="6"/>
      <c r="I55" s="6"/>
      <c r="J55" s="3" t="str">
        <f t="shared" si="2"/>
        <v/>
      </c>
      <c r="K55" s="3" t="str">
        <f t="shared" si="3"/>
        <v/>
      </c>
      <c r="L55" s="5"/>
    </row>
    <row r="56" spans="1:12" ht="135" x14ac:dyDescent="0.25">
      <c r="A56" s="3">
        <v>55</v>
      </c>
      <c r="B56" s="3" t="s">
        <v>100</v>
      </c>
      <c r="C56" s="3" t="s">
        <v>264</v>
      </c>
      <c r="D56" s="5" t="s">
        <v>633</v>
      </c>
      <c r="E56" s="6"/>
      <c r="F56" s="6"/>
      <c r="G56" s="6"/>
      <c r="H56" s="6"/>
      <c r="I56" s="6"/>
      <c r="J56" s="3" t="str">
        <f t="shared" si="2"/>
        <v/>
      </c>
      <c r="K56" s="3" t="str">
        <f t="shared" si="3"/>
        <v/>
      </c>
      <c r="L56" s="5"/>
    </row>
    <row r="57" spans="1:12" ht="90" x14ac:dyDescent="0.25">
      <c r="A57" s="3">
        <v>56</v>
      </c>
      <c r="B57" s="3" t="s">
        <v>100</v>
      </c>
      <c r="C57" s="3" t="s">
        <v>264</v>
      </c>
      <c r="D57" s="5" t="s">
        <v>634</v>
      </c>
      <c r="E57" s="6"/>
      <c r="F57" s="6"/>
      <c r="G57" s="6"/>
      <c r="H57" s="6"/>
      <c r="I57" s="6"/>
      <c r="J57" s="3" t="str">
        <f t="shared" si="2"/>
        <v/>
      </c>
      <c r="K57" s="3" t="str">
        <f t="shared" si="3"/>
        <v/>
      </c>
      <c r="L57" s="5"/>
    </row>
    <row r="58" spans="1:12" ht="90" x14ac:dyDescent="0.25">
      <c r="A58" s="3">
        <v>57</v>
      </c>
      <c r="B58" s="3" t="s">
        <v>100</v>
      </c>
      <c r="C58" s="3" t="s">
        <v>264</v>
      </c>
      <c r="D58" s="5" t="s">
        <v>635</v>
      </c>
      <c r="E58" s="6"/>
      <c r="F58" s="6"/>
      <c r="G58" s="6"/>
      <c r="H58" s="6"/>
      <c r="I58" s="6"/>
      <c r="J58" s="3" t="str">
        <f t="shared" si="2"/>
        <v/>
      </c>
      <c r="K58" s="3" t="str">
        <f t="shared" si="3"/>
        <v/>
      </c>
      <c r="L58" s="5"/>
    </row>
    <row r="59" spans="1:12" ht="105" x14ac:dyDescent="0.25">
      <c r="A59" s="3">
        <v>58</v>
      </c>
      <c r="B59" s="3" t="s">
        <v>100</v>
      </c>
      <c r="C59" s="3" t="s">
        <v>268</v>
      </c>
      <c r="D59" s="5" t="s">
        <v>636</v>
      </c>
      <c r="E59" s="6"/>
      <c r="F59" s="6"/>
      <c r="G59" s="6"/>
      <c r="H59" s="6"/>
      <c r="I59" s="6"/>
      <c r="J59" s="3" t="str">
        <f t="shared" si="2"/>
        <v/>
      </c>
      <c r="K59" s="3" t="str">
        <f t="shared" si="3"/>
        <v/>
      </c>
      <c r="L59" s="5"/>
    </row>
    <row r="60" spans="1:12" ht="120" x14ac:dyDescent="0.25">
      <c r="A60" s="3">
        <v>59</v>
      </c>
      <c r="B60" s="3" t="s">
        <v>111</v>
      </c>
      <c r="C60" s="3" t="s">
        <v>271</v>
      </c>
      <c r="D60" s="5" t="s">
        <v>637</v>
      </c>
      <c r="E60" s="6"/>
      <c r="F60" s="6"/>
      <c r="G60" s="6"/>
      <c r="H60" s="6"/>
      <c r="I60" s="6"/>
      <c r="J60" s="3" t="str">
        <f t="shared" si="2"/>
        <v/>
      </c>
      <c r="K60" s="3" t="str">
        <f t="shared" si="3"/>
        <v/>
      </c>
      <c r="L60" s="5"/>
    </row>
    <row r="61" spans="1:12" ht="120" x14ac:dyDescent="0.25">
      <c r="A61" s="3">
        <v>60</v>
      </c>
      <c r="B61" s="3" t="s">
        <v>111</v>
      </c>
      <c r="C61" s="3" t="s">
        <v>271</v>
      </c>
      <c r="D61" s="5" t="s">
        <v>518</v>
      </c>
      <c r="E61" s="6"/>
      <c r="F61" s="6"/>
      <c r="G61" s="6"/>
      <c r="H61" s="6"/>
      <c r="I61" s="6"/>
      <c r="J61" s="3" t="str">
        <f t="shared" si="2"/>
        <v/>
      </c>
      <c r="K61" s="3" t="str">
        <f t="shared" si="3"/>
        <v/>
      </c>
      <c r="L61" s="5"/>
    </row>
    <row r="62" spans="1:12" ht="120" x14ac:dyDescent="0.25">
      <c r="A62" s="3">
        <v>61</v>
      </c>
      <c r="B62" s="3" t="s">
        <v>111</v>
      </c>
      <c r="C62" s="3" t="s">
        <v>274</v>
      </c>
      <c r="D62" s="5" t="s">
        <v>638</v>
      </c>
      <c r="E62" s="6"/>
      <c r="F62" s="6"/>
      <c r="G62" s="6"/>
      <c r="H62" s="6"/>
      <c r="I62" s="6"/>
      <c r="J62" s="3" t="str">
        <f t="shared" si="2"/>
        <v/>
      </c>
      <c r="K62" s="3" t="str">
        <f t="shared" si="3"/>
        <v/>
      </c>
      <c r="L62" s="5"/>
    </row>
    <row r="63" spans="1:12" ht="120" x14ac:dyDescent="0.25">
      <c r="A63" s="3">
        <v>62</v>
      </c>
      <c r="B63" s="3" t="s">
        <v>111</v>
      </c>
      <c r="C63" s="3" t="s">
        <v>274</v>
      </c>
      <c r="D63" s="5" t="s">
        <v>639</v>
      </c>
      <c r="E63" s="6"/>
      <c r="F63" s="6"/>
      <c r="G63" s="6"/>
      <c r="H63" s="6"/>
      <c r="I63" s="6"/>
      <c r="J63" s="3" t="str">
        <f t="shared" si="2"/>
        <v/>
      </c>
      <c r="K63" s="3" t="str">
        <f t="shared" si="3"/>
        <v/>
      </c>
      <c r="L63" s="5"/>
    </row>
    <row r="64" spans="1:12" ht="105" x14ac:dyDescent="0.25">
      <c r="A64" s="3">
        <v>63</v>
      </c>
      <c r="B64" s="3" t="s">
        <v>111</v>
      </c>
      <c r="C64" s="3" t="s">
        <v>277</v>
      </c>
      <c r="D64" s="5" t="s">
        <v>640</v>
      </c>
      <c r="E64" s="6"/>
      <c r="F64" s="6"/>
      <c r="G64" s="6"/>
      <c r="H64" s="6"/>
      <c r="I64" s="6"/>
      <c r="J64" s="3" t="str">
        <f t="shared" si="2"/>
        <v/>
      </c>
      <c r="K64" s="3" t="str">
        <f t="shared" si="3"/>
        <v/>
      </c>
      <c r="L64" s="5"/>
    </row>
    <row r="65" spans="1:12" ht="90" x14ac:dyDescent="0.25">
      <c r="A65" s="3">
        <v>64</v>
      </c>
      <c r="B65" s="3" t="s">
        <v>111</v>
      </c>
      <c r="C65" s="3" t="s">
        <v>277</v>
      </c>
      <c r="D65" s="5" t="s">
        <v>641</v>
      </c>
      <c r="E65" s="6"/>
      <c r="F65" s="6"/>
      <c r="G65" s="6"/>
      <c r="H65" s="6"/>
      <c r="I65" s="6"/>
      <c r="J65" s="3" t="str">
        <f t="shared" si="2"/>
        <v/>
      </c>
      <c r="K65" s="3" t="str">
        <f t="shared" si="3"/>
        <v/>
      </c>
      <c r="L65" s="5"/>
    </row>
    <row r="66" spans="1:12" ht="135" x14ac:dyDescent="0.25">
      <c r="A66" s="3">
        <v>65</v>
      </c>
      <c r="B66" s="3" t="s">
        <v>111</v>
      </c>
      <c r="C66" s="3" t="s">
        <v>280</v>
      </c>
      <c r="D66" s="5" t="s">
        <v>642</v>
      </c>
      <c r="E66" s="6"/>
      <c r="F66" s="6"/>
      <c r="G66" s="6"/>
      <c r="H66" s="6"/>
      <c r="I66" s="6"/>
      <c r="J66" s="3" t="str">
        <f t="shared" ref="J66:J97" si="4">IF(COUNT(E66:I66)=5,AVERAGE(E66:I66),"")</f>
        <v/>
      </c>
      <c r="K66" s="3" t="str">
        <f t="shared" ref="K66:K97" si="5">IF(J66="","",IF(J66&gt;=4,"Đạt","Không"))</f>
        <v/>
      </c>
      <c r="L66" s="5"/>
    </row>
    <row r="67" spans="1:12" ht="105" x14ac:dyDescent="0.25">
      <c r="A67" s="3">
        <v>66</v>
      </c>
      <c r="B67" s="3" t="s">
        <v>111</v>
      </c>
      <c r="C67" s="3" t="s">
        <v>280</v>
      </c>
      <c r="D67" s="5" t="s">
        <v>643</v>
      </c>
      <c r="E67" s="6"/>
      <c r="F67" s="6"/>
      <c r="G67" s="6"/>
      <c r="H67" s="6"/>
      <c r="I67" s="6"/>
      <c r="J67" s="3" t="str">
        <f t="shared" si="4"/>
        <v/>
      </c>
      <c r="K67" s="3" t="str">
        <f t="shared" si="5"/>
        <v/>
      </c>
      <c r="L67" s="5"/>
    </row>
    <row r="68" spans="1:12" ht="150" x14ac:dyDescent="0.25">
      <c r="A68" s="3">
        <v>67</v>
      </c>
      <c r="B68" s="3" t="s">
        <v>111</v>
      </c>
      <c r="C68" s="3" t="s">
        <v>283</v>
      </c>
      <c r="D68" s="5" t="s">
        <v>644</v>
      </c>
      <c r="E68" s="6"/>
      <c r="F68" s="6"/>
      <c r="G68" s="6"/>
      <c r="H68" s="6"/>
      <c r="I68" s="6"/>
      <c r="J68" s="3" t="str">
        <f t="shared" si="4"/>
        <v/>
      </c>
      <c r="K68" s="3" t="str">
        <f t="shared" si="5"/>
        <v/>
      </c>
      <c r="L68" s="5"/>
    </row>
    <row r="69" spans="1:12" ht="105" x14ac:dyDescent="0.25">
      <c r="A69" s="3">
        <v>68</v>
      </c>
      <c r="B69" s="3" t="s">
        <v>111</v>
      </c>
      <c r="C69" s="3" t="s">
        <v>526</v>
      </c>
      <c r="D69" s="5" t="s">
        <v>645</v>
      </c>
      <c r="E69" s="6"/>
      <c r="F69" s="6"/>
      <c r="G69" s="6"/>
      <c r="H69" s="6"/>
      <c r="I69" s="6"/>
      <c r="J69" s="3" t="str">
        <f t="shared" si="4"/>
        <v/>
      </c>
      <c r="K69" s="3" t="str">
        <f t="shared" si="5"/>
        <v/>
      </c>
      <c r="L69" s="5"/>
    </row>
    <row r="70" spans="1:12" ht="90" x14ac:dyDescent="0.25">
      <c r="A70" s="3">
        <v>69</v>
      </c>
      <c r="B70" s="3" t="s">
        <v>122</v>
      </c>
      <c r="C70" s="3" t="s">
        <v>287</v>
      </c>
      <c r="D70" s="5" t="s">
        <v>646</v>
      </c>
      <c r="E70" s="6"/>
      <c r="F70" s="6"/>
      <c r="G70" s="6"/>
      <c r="H70" s="6"/>
      <c r="I70" s="6"/>
      <c r="J70" s="3" t="str">
        <f t="shared" si="4"/>
        <v/>
      </c>
      <c r="K70" s="3" t="str">
        <f t="shared" si="5"/>
        <v/>
      </c>
      <c r="L70" s="5"/>
    </row>
    <row r="71" spans="1:12" ht="105" x14ac:dyDescent="0.25">
      <c r="A71" s="3">
        <v>70</v>
      </c>
      <c r="B71" s="3" t="s">
        <v>122</v>
      </c>
      <c r="C71" s="3" t="s">
        <v>287</v>
      </c>
      <c r="D71" s="5" t="s">
        <v>529</v>
      </c>
      <c r="E71" s="6"/>
      <c r="F71" s="6"/>
      <c r="G71" s="6"/>
      <c r="H71" s="6"/>
      <c r="I71" s="6"/>
      <c r="J71" s="3" t="str">
        <f t="shared" si="4"/>
        <v/>
      </c>
      <c r="K71" s="3" t="str">
        <f t="shared" si="5"/>
        <v/>
      </c>
      <c r="L71" s="5"/>
    </row>
    <row r="72" spans="1:12" ht="90" x14ac:dyDescent="0.25">
      <c r="A72" s="3">
        <v>71</v>
      </c>
      <c r="B72" s="3" t="s">
        <v>122</v>
      </c>
      <c r="C72" s="3" t="s">
        <v>287</v>
      </c>
      <c r="D72" s="5" t="s">
        <v>530</v>
      </c>
      <c r="E72" s="6"/>
      <c r="F72" s="6"/>
      <c r="G72" s="6"/>
      <c r="H72" s="6"/>
      <c r="I72" s="6"/>
      <c r="J72" s="3" t="str">
        <f t="shared" si="4"/>
        <v/>
      </c>
      <c r="K72" s="3" t="str">
        <f t="shared" si="5"/>
        <v/>
      </c>
      <c r="L72" s="5"/>
    </row>
    <row r="73" spans="1:12" ht="90" x14ac:dyDescent="0.25">
      <c r="A73" s="3">
        <v>72</v>
      </c>
      <c r="B73" s="3" t="s">
        <v>122</v>
      </c>
      <c r="C73" s="3" t="s">
        <v>287</v>
      </c>
      <c r="D73" s="5" t="s">
        <v>531</v>
      </c>
      <c r="E73" s="6"/>
      <c r="F73" s="6"/>
      <c r="G73" s="6"/>
      <c r="H73" s="6"/>
      <c r="I73" s="6"/>
      <c r="J73" s="3" t="str">
        <f t="shared" si="4"/>
        <v/>
      </c>
      <c r="K73" s="3" t="str">
        <f t="shared" si="5"/>
        <v/>
      </c>
      <c r="L73" s="5"/>
    </row>
    <row r="74" spans="1:12" ht="135" x14ac:dyDescent="0.25">
      <c r="A74" s="3">
        <v>73</v>
      </c>
      <c r="B74" s="3" t="s">
        <v>122</v>
      </c>
      <c r="C74" s="3" t="s">
        <v>292</v>
      </c>
      <c r="D74" s="5" t="s">
        <v>647</v>
      </c>
      <c r="E74" s="6"/>
      <c r="F74" s="6"/>
      <c r="G74" s="6"/>
      <c r="H74" s="6"/>
      <c r="I74" s="6"/>
      <c r="J74" s="3" t="str">
        <f t="shared" si="4"/>
        <v/>
      </c>
      <c r="K74" s="3" t="str">
        <f t="shared" si="5"/>
        <v/>
      </c>
      <c r="L74" s="5"/>
    </row>
    <row r="75" spans="1:12" ht="90" x14ac:dyDescent="0.25">
      <c r="A75" s="3">
        <v>74</v>
      </c>
      <c r="B75" s="3" t="s">
        <v>122</v>
      </c>
      <c r="C75" s="3" t="s">
        <v>295</v>
      </c>
      <c r="D75" s="5" t="s">
        <v>648</v>
      </c>
      <c r="E75" s="6"/>
      <c r="F75" s="6"/>
      <c r="G75" s="6"/>
      <c r="H75" s="6"/>
      <c r="I75" s="6"/>
      <c r="J75" s="3" t="str">
        <f t="shared" si="4"/>
        <v/>
      </c>
      <c r="K75" s="3" t="str">
        <f t="shared" si="5"/>
        <v/>
      </c>
      <c r="L75" s="5"/>
    </row>
    <row r="76" spans="1:12" ht="90" x14ac:dyDescent="0.25">
      <c r="A76" s="3">
        <v>75</v>
      </c>
      <c r="B76" s="3" t="s">
        <v>122</v>
      </c>
      <c r="C76" s="3" t="s">
        <v>295</v>
      </c>
      <c r="D76" s="5" t="s">
        <v>649</v>
      </c>
      <c r="E76" s="6"/>
      <c r="F76" s="6"/>
      <c r="G76" s="6"/>
      <c r="H76" s="6"/>
      <c r="I76" s="6"/>
      <c r="J76" s="3" t="str">
        <f t="shared" si="4"/>
        <v/>
      </c>
      <c r="K76" s="3" t="str">
        <f t="shared" si="5"/>
        <v/>
      </c>
      <c r="L76" s="5"/>
    </row>
    <row r="77" spans="1:12" ht="90" x14ac:dyDescent="0.25">
      <c r="A77" s="3">
        <v>76</v>
      </c>
      <c r="B77" s="3" t="s">
        <v>122</v>
      </c>
      <c r="C77" s="3" t="s">
        <v>295</v>
      </c>
      <c r="D77" s="5" t="s">
        <v>650</v>
      </c>
      <c r="E77" s="6"/>
      <c r="F77" s="6"/>
      <c r="G77" s="6"/>
      <c r="H77" s="6"/>
      <c r="I77" s="6"/>
      <c r="J77" s="3" t="str">
        <f t="shared" si="4"/>
        <v/>
      </c>
      <c r="K77" s="3" t="str">
        <f t="shared" si="5"/>
        <v/>
      </c>
      <c r="L77" s="5"/>
    </row>
    <row r="78" spans="1:12" ht="120" x14ac:dyDescent="0.25">
      <c r="A78" s="3">
        <v>77</v>
      </c>
      <c r="B78" s="3" t="s">
        <v>122</v>
      </c>
      <c r="C78" s="3" t="s">
        <v>299</v>
      </c>
      <c r="D78" s="5" t="s">
        <v>651</v>
      </c>
      <c r="E78" s="6"/>
      <c r="F78" s="6"/>
      <c r="G78" s="6"/>
      <c r="H78" s="6"/>
      <c r="I78" s="6"/>
      <c r="J78" s="3" t="str">
        <f t="shared" si="4"/>
        <v/>
      </c>
      <c r="K78" s="3" t="str">
        <f t="shared" si="5"/>
        <v/>
      </c>
      <c r="L78" s="5"/>
    </row>
    <row r="79" spans="1:12" ht="90" x14ac:dyDescent="0.25">
      <c r="A79" s="3">
        <v>78</v>
      </c>
      <c r="B79" s="3" t="s">
        <v>133</v>
      </c>
      <c r="C79" s="3" t="s">
        <v>287</v>
      </c>
      <c r="D79" s="5" t="s">
        <v>652</v>
      </c>
      <c r="E79" s="6"/>
      <c r="F79" s="6"/>
      <c r="G79" s="6"/>
      <c r="H79" s="6"/>
      <c r="I79" s="6"/>
      <c r="J79" s="3" t="str">
        <f t="shared" si="4"/>
        <v/>
      </c>
      <c r="K79" s="3" t="str">
        <f t="shared" si="5"/>
        <v/>
      </c>
      <c r="L79" s="5"/>
    </row>
    <row r="80" spans="1:12" ht="90" x14ac:dyDescent="0.25">
      <c r="A80" s="3">
        <v>79</v>
      </c>
      <c r="B80" s="3" t="s">
        <v>133</v>
      </c>
      <c r="C80" s="3" t="s">
        <v>287</v>
      </c>
      <c r="D80" s="5" t="s">
        <v>653</v>
      </c>
      <c r="E80" s="6"/>
      <c r="F80" s="6"/>
      <c r="G80" s="6"/>
      <c r="H80" s="6"/>
      <c r="I80" s="6"/>
      <c r="J80" s="3" t="str">
        <f t="shared" si="4"/>
        <v/>
      </c>
      <c r="K80" s="3" t="str">
        <f t="shared" si="5"/>
        <v/>
      </c>
      <c r="L80" s="5"/>
    </row>
    <row r="81" spans="1:12" ht="90" x14ac:dyDescent="0.25">
      <c r="A81" s="3">
        <v>80</v>
      </c>
      <c r="B81" s="3" t="s">
        <v>133</v>
      </c>
      <c r="C81" s="3" t="s">
        <v>305</v>
      </c>
      <c r="D81" s="5" t="s">
        <v>654</v>
      </c>
      <c r="E81" s="6"/>
      <c r="F81" s="6"/>
      <c r="G81" s="6"/>
      <c r="H81" s="6"/>
      <c r="I81" s="6"/>
      <c r="J81" s="3" t="str">
        <f t="shared" si="4"/>
        <v/>
      </c>
      <c r="K81" s="3" t="str">
        <f t="shared" si="5"/>
        <v/>
      </c>
      <c r="L81" s="5"/>
    </row>
    <row r="82" spans="1:12" ht="90" x14ac:dyDescent="0.25">
      <c r="A82" s="3">
        <v>81</v>
      </c>
      <c r="B82" s="3" t="s">
        <v>133</v>
      </c>
      <c r="C82" s="3" t="s">
        <v>305</v>
      </c>
      <c r="D82" s="5" t="s">
        <v>655</v>
      </c>
      <c r="E82" s="6"/>
      <c r="F82" s="6"/>
      <c r="G82" s="6"/>
      <c r="H82" s="6"/>
      <c r="I82" s="6"/>
      <c r="J82" s="3" t="str">
        <f t="shared" si="4"/>
        <v/>
      </c>
      <c r="K82" s="3" t="str">
        <f t="shared" si="5"/>
        <v/>
      </c>
      <c r="L82" s="5"/>
    </row>
    <row r="83" spans="1:12" ht="120" x14ac:dyDescent="0.25">
      <c r="A83" s="3">
        <v>82</v>
      </c>
      <c r="B83" s="3" t="s">
        <v>133</v>
      </c>
      <c r="C83" s="3" t="s">
        <v>309</v>
      </c>
      <c r="D83" s="5" t="s">
        <v>656</v>
      </c>
      <c r="E83" s="6"/>
      <c r="F83" s="6"/>
      <c r="G83" s="6"/>
      <c r="H83" s="6"/>
      <c r="I83" s="6"/>
      <c r="J83" s="3" t="str">
        <f t="shared" si="4"/>
        <v/>
      </c>
      <c r="K83" s="3" t="str">
        <f t="shared" si="5"/>
        <v/>
      </c>
      <c r="L83" s="5"/>
    </row>
    <row r="84" spans="1:12" ht="150" x14ac:dyDescent="0.25">
      <c r="A84" s="3">
        <v>83</v>
      </c>
      <c r="B84" s="3" t="s">
        <v>133</v>
      </c>
      <c r="C84" s="3" t="s">
        <v>312</v>
      </c>
      <c r="D84" s="5" t="s">
        <v>657</v>
      </c>
      <c r="E84" s="6"/>
      <c r="F84" s="6"/>
      <c r="G84" s="6"/>
      <c r="H84" s="6"/>
      <c r="I84" s="6"/>
      <c r="J84" s="3" t="str">
        <f t="shared" si="4"/>
        <v/>
      </c>
      <c r="K84" s="3" t="str">
        <f t="shared" si="5"/>
        <v/>
      </c>
      <c r="L84" s="5"/>
    </row>
    <row r="85" spans="1:12" ht="90" x14ac:dyDescent="0.25">
      <c r="A85" s="3">
        <v>84</v>
      </c>
      <c r="B85" s="3" t="s">
        <v>133</v>
      </c>
      <c r="C85" s="3" t="s">
        <v>546</v>
      </c>
      <c r="D85" s="5" t="s">
        <v>658</v>
      </c>
      <c r="E85" s="6"/>
      <c r="F85" s="6"/>
      <c r="G85" s="6"/>
      <c r="H85" s="6"/>
      <c r="I85" s="6"/>
      <c r="J85" s="3" t="str">
        <f t="shared" si="4"/>
        <v/>
      </c>
      <c r="K85" s="3" t="str">
        <f t="shared" si="5"/>
        <v/>
      </c>
      <c r="L85" s="5"/>
    </row>
    <row r="86" spans="1:12" ht="90" x14ac:dyDescent="0.25">
      <c r="A86" s="3">
        <v>85</v>
      </c>
      <c r="B86" s="3" t="s">
        <v>133</v>
      </c>
      <c r="C86" s="3" t="s">
        <v>546</v>
      </c>
      <c r="D86" s="5" t="s">
        <v>659</v>
      </c>
      <c r="E86" s="6"/>
      <c r="F86" s="6"/>
      <c r="G86" s="6"/>
      <c r="H86" s="6"/>
      <c r="I86" s="6"/>
      <c r="J86" s="3" t="str">
        <f t="shared" si="4"/>
        <v/>
      </c>
      <c r="K86" s="3" t="str">
        <f t="shared" si="5"/>
        <v/>
      </c>
      <c r="L86" s="5"/>
    </row>
    <row r="87" spans="1:12" ht="165" x14ac:dyDescent="0.25">
      <c r="A87" s="3">
        <v>86</v>
      </c>
      <c r="B87" s="3" t="s">
        <v>144</v>
      </c>
      <c r="C87" s="3" t="s">
        <v>314</v>
      </c>
      <c r="D87" s="5" t="s">
        <v>660</v>
      </c>
      <c r="E87" s="6"/>
      <c r="F87" s="6"/>
      <c r="G87" s="6"/>
      <c r="H87" s="6"/>
      <c r="I87" s="6"/>
      <c r="J87" s="3" t="str">
        <f t="shared" si="4"/>
        <v/>
      </c>
      <c r="K87" s="3" t="str">
        <f t="shared" si="5"/>
        <v/>
      </c>
      <c r="L87" s="5"/>
    </row>
    <row r="88" spans="1:12" ht="135" x14ac:dyDescent="0.25">
      <c r="A88" s="3">
        <v>87</v>
      </c>
      <c r="B88" s="3" t="s">
        <v>144</v>
      </c>
      <c r="C88" s="3" t="s">
        <v>314</v>
      </c>
      <c r="D88" s="5" t="s">
        <v>661</v>
      </c>
      <c r="E88" s="6"/>
      <c r="F88" s="6"/>
      <c r="G88" s="6"/>
      <c r="H88" s="6"/>
      <c r="I88" s="6"/>
      <c r="J88" s="3" t="str">
        <f t="shared" si="4"/>
        <v/>
      </c>
      <c r="K88" s="3" t="str">
        <f t="shared" si="5"/>
        <v/>
      </c>
      <c r="L88" s="5"/>
    </row>
    <row r="89" spans="1:12" ht="150" x14ac:dyDescent="0.25">
      <c r="A89" s="3">
        <v>88</v>
      </c>
      <c r="B89" s="3" t="s">
        <v>144</v>
      </c>
      <c r="C89" s="3" t="s">
        <v>317</v>
      </c>
      <c r="D89" s="5" t="s">
        <v>662</v>
      </c>
      <c r="E89" s="6"/>
      <c r="F89" s="6"/>
      <c r="G89" s="6"/>
      <c r="H89" s="6"/>
      <c r="I89" s="6"/>
      <c r="J89" s="3" t="str">
        <f t="shared" si="4"/>
        <v/>
      </c>
      <c r="K89" s="3" t="str">
        <f t="shared" si="5"/>
        <v/>
      </c>
      <c r="L89" s="5"/>
    </row>
    <row r="90" spans="1:12" ht="120" x14ac:dyDescent="0.25">
      <c r="A90" s="3">
        <v>89</v>
      </c>
      <c r="B90" s="3" t="s">
        <v>144</v>
      </c>
      <c r="C90" s="3" t="s">
        <v>317</v>
      </c>
      <c r="D90" s="5" t="s">
        <v>663</v>
      </c>
      <c r="E90" s="6"/>
      <c r="F90" s="6"/>
      <c r="G90" s="6"/>
      <c r="H90" s="6"/>
      <c r="I90" s="6"/>
      <c r="J90" s="3" t="str">
        <f t="shared" si="4"/>
        <v/>
      </c>
      <c r="K90" s="3" t="str">
        <f t="shared" si="5"/>
        <v/>
      </c>
      <c r="L90" s="5"/>
    </row>
    <row r="91" spans="1:12" ht="165" x14ac:dyDescent="0.25">
      <c r="A91" s="3">
        <v>90</v>
      </c>
      <c r="B91" s="3" t="s">
        <v>144</v>
      </c>
      <c r="C91" s="3" t="s">
        <v>320</v>
      </c>
      <c r="D91" s="5" t="s">
        <v>664</v>
      </c>
      <c r="E91" s="6"/>
      <c r="F91" s="6"/>
      <c r="G91" s="6"/>
      <c r="H91" s="6"/>
      <c r="I91" s="6"/>
      <c r="J91" s="3" t="str">
        <f t="shared" si="4"/>
        <v/>
      </c>
      <c r="K91" s="3" t="str">
        <f t="shared" si="5"/>
        <v/>
      </c>
      <c r="L91" s="5"/>
    </row>
    <row r="92" spans="1:12" ht="150" x14ac:dyDescent="0.25">
      <c r="A92" s="3">
        <v>91</v>
      </c>
      <c r="B92" s="3" t="s">
        <v>144</v>
      </c>
      <c r="C92" s="3" t="s">
        <v>322</v>
      </c>
      <c r="D92" s="5" t="s">
        <v>665</v>
      </c>
      <c r="E92" s="6"/>
      <c r="F92" s="6"/>
      <c r="G92" s="6"/>
      <c r="H92" s="6"/>
      <c r="I92" s="6"/>
      <c r="J92" s="3" t="str">
        <f t="shared" si="4"/>
        <v/>
      </c>
      <c r="K92" s="3" t="str">
        <f t="shared" si="5"/>
        <v/>
      </c>
      <c r="L92" s="5"/>
    </row>
    <row r="93" spans="1:12" ht="135" x14ac:dyDescent="0.25">
      <c r="A93" s="3">
        <v>92</v>
      </c>
      <c r="B93" s="3" t="s">
        <v>144</v>
      </c>
      <c r="C93" s="3" t="s">
        <v>322</v>
      </c>
      <c r="D93" s="5" t="s">
        <v>666</v>
      </c>
      <c r="E93" s="6"/>
      <c r="F93" s="6"/>
      <c r="G93" s="6"/>
      <c r="H93" s="6"/>
      <c r="I93" s="6"/>
      <c r="J93" s="3" t="str">
        <f t="shared" si="4"/>
        <v/>
      </c>
      <c r="K93" s="3" t="str">
        <f t="shared" si="5"/>
        <v/>
      </c>
      <c r="L93" s="5"/>
    </row>
    <row r="94" spans="1:12" ht="135" x14ac:dyDescent="0.25">
      <c r="A94" s="3">
        <v>93</v>
      </c>
      <c r="B94" s="3" t="s">
        <v>144</v>
      </c>
      <c r="C94" s="3" t="s">
        <v>325</v>
      </c>
      <c r="D94" s="5" t="s">
        <v>667</v>
      </c>
      <c r="E94" s="6"/>
      <c r="F94" s="6"/>
      <c r="G94" s="6"/>
      <c r="H94" s="6"/>
      <c r="I94" s="6"/>
      <c r="J94" s="3" t="str">
        <f t="shared" si="4"/>
        <v/>
      </c>
      <c r="K94" s="3" t="str">
        <f t="shared" si="5"/>
        <v/>
      </c>
      <c r="L94" s="5"/>
    </row>
    <row r="95" spans="1:12" ht="150" x14ac:dyDescent="0.25">
      <c r="A95" s="3">
        <v>94</v>
      </c>
      <c r="B95" s="3" t="s">
        <v>144</v>
      </c>
      <c r="C95" s="3" t="s">
        <v>325</v>
      </c>
      <c r="D95" s="5" t="s">
        <v>668</v>
      </c>
      <c r="E95" s="6"/>
      <c r="F95" s="6"/>
      <c r="G95" s="6"/>
      <c r="H95" s="6"/>
      <c r="I95" s="6"/>
      <c r="J95" s="3" t="str">
        <f t="shared" si="4"/>
        <v/>
      </c>
      <c r="K95" s="3" t="str">
        <f t="shared" si="5"/>
        <v/>
      </c>
      <c r="L95" s="5"/>
    </row>
    <row r="96" spans="1:12" ht="120" x14ac:dyDescent="0.25">
      <c r="A96" s="3">
        <v>95</v>
      </c>
      <c r="B96" s="3" t="s">
        <v>144</v>
      </c>
      <c r="C96" s="3" t="s">
        <v>669</v>
      </c>
      <c r="D96" s="5" t="s">
        <v>670</v>
      </c>
      <c r="E96" s="6"/>
      <c r="F96" s="6"/>
      <c r="G96" s="6"/>
      <c r="H96" s="6"/>
      <c r="I96" s="6"/>
      <c r="J96" s="3" t="str">
        <f t="shared" si="4"/>
        <v/>
      </c>
      <c r="K96" s="3" t="str">
        <f t="shared" si="5"/>
        <v/>
      </c>
      <c r="L96" s="5"/>
    </row>
    <row r="97" spans="1:12" ht="120" x14ac:dyDescent="0.25">
      <c r="A97" s="3">
        <v>96</v>
      </c>
      <c r="B97" s="3" t="s">
        <v>155</v>
      </c>
      <c r="C97" s="3" t="s">
        <v>559</v>
      </c>
      <c r="D97" s="5" t="s">
        <v>671</v>
      </c>
      <c r="E97" s="6"/>
      <c r="F97" s="6"/>
      <c r="G97" s="6"/>
      <c r="H97" s="6"/>
      <c r="I97" s="6"/>
      <c r="J97" s="3" t="str">
        <f t="shared" si="4"/>
        <v/>
      </c>
      <c r="K97" s="3" t="str">
        <f t="shared" si="5"/>
        <v/>
      </c>
      <c r="L97" s="5"/>
    </row>
    <row r="98" spans="1:12" ht="90" x14ac:dyDescent="0.25">
      <c r="A98" s="3">
        <v>97</v>
      </c>
      <c r="B98" s="3" t="s">
        <v>155</v>
      </c>
      <c r="C98" s="3" t="s">
        <v>562</v>
      </c>
      <c r="D98" s="5" t="s">
        <v>672</v>
      </c>
      <c r="E98" s="6"/>
      <c r="F98" s="6"/>
      <c r="G98" s="6"/>
      <c r="H98" s="6"/>
      <c r="I98" s="6"/>
      <c r="J98" s="3" t="str">
        <f t="shared" ref="J98:J129" si="6">IF(COUNT(E98:I98)=5,AVERAGE(E98:I98),"")</f>
        <v/>
      </c>
      <c r="K98" s="3" t="str">
        <f t="shared" ref="K98:K129" si="7">IF(J98="","",IF(J98&gt;=4,"Đạt","Không"))</f>
        <v/>
      </c>
      <c r="L98" s="5"/>
    </row>
    <row r="99" spans="1:12" ht="135" x14ac:dyDescent="0.25">
      <c r="A99" s="3">
        <v>98</v>
      </c>
      <c r="B99" s="3" t="s">
        <v>155</v>
      </c>
      <c r="C99" s="3" t="s">
        <v>564</v>
      </c>
      <c r="D99" s="5" t="s">
        <v>673</v>
      </c>
      <c r="E99" s="6"/>
      <c r="F99" s="6"/>
      <c r="G99" s="6"/>
      <c r="H99" s="6"/>
      <c r="I99" s="6"/>
      <c r="J99" s="3" t="str">
        <f t="shared" si="6"/>
        <v/>
      </c>
      <c r="K99" s="3" t="str">
        <f t="shared" si="7"/>
        <v/>
      </c>
      <c r="L99" s="5"/>
    </row>
    <row r="100" spans="1:12" ht="195" x14ac:dyDescent="0.25">
      <c r="A100" s="3">
        <v>99</v>
      </c>
      <c r="B100" s="3" t="s">
        <v>155</v>
      </c>
      <c r="C100" s="3" t="s">
        <v>567</v>
      </c>
      <c r="D100" s="5" t="s">
        <v>674</v>
      </c>
      <c r="E100" s="6"/>
      <c r="F100" s="6"/>
      <c r="G100" s="6"/>
      <c r="H100" s="6"/>
      <c r="I100" s="6"/>
      <c r="J100" s="3" t="str">
        <f t="shared" si="6"/>
        <v/>
      </c>
      <c r="K100" s="3" t="str">
        <f t="shared" si="7"/>
        <v/>
      </c>
      <c r="L100" s="5"/>
    </row>
    <row r="101" spans="1:12" ht="120" x14ac:dyDescent="0.25">
      <c r="A101" s="3">
        <v>100</v>
      </c>
      <c r="B101" s="3" t="s">
        <v>155</v>
      </c>
      <c r="C101" s="3" t="s">
        <v>569</v>
      </c>
      <c r="D101" s="5" t="s">
        <v>675</v>
      </c>
      <c r="E101" s="6"/>
      <c r="F101" s="6"/>
      <c r="G101" s="6"/>
      <c r="H101" s="6"/>
      <c r="I101" s="6"/>
      <c r="J101" s="3" t="str">
        <f t="shared" si="6"/>
        <v/>
      </c>
      <c r="K101" s="3" t="str">
        <f t="shared" si="7"/>
        <v/>
      </c>
      <c r="L101" s="5"/>
    </row>
    <row r="102" spans="1:12" ht="180" x14ac:dyDescent="0.25">
      <c r="A102" s="3">
        <v>101</v>
      </c>
      <c r="B102" s="3" t="s">
        <v>155</v>
      </c>
      <c r="C102" s="3" t="s">
        <v>571</v>
      </c>
      <c r="D102" s="5" t="s">
        <v>676</v>
      </c>
      <c r="E102" s="6"/>
      <c r="F102" s="6"/>
      <c r="G102" s="6"/>
      <c r="H102" s="6"/>
      <c r="I102" s="6"/>
      <c r="J102" s="3" t="str">
        <f t="shared" si="6"/>
        <v/>
      </c>
      <c r="K102" s="3" t="str">
        <f t="shared" si="7"/>
        <v/>
      </c>
      <c r="L102" s="5"/>
    </row>
    <row r="103" spans="1:12" ht="105" x14ac:dyDescent="0.25">
      <c r="A103" s="3">
        <v>102</v>
      </c>
      <c r="B103" s="3" t="s">
        <v>155</v>
      </c>
      <c r="C103" s="3" t="s">
        <v>574</v>
      </c>
      <c r="D103" s="5" t="s">
        <v>677</v>
      </c>
      <c r="E103" s="6"/>
      <c r="F103" s="6"/>
      <c r="G103" s="6"/>
      <c r="H103" s="6"/>
      <c r="I103" s="6"/>
      <c r="J103" s="3" t="str">
        <f t="shared" si="6"/>
        <v/>
      </c>
      <c r="K103" s="3" t="str">
        <f t="shared" si="7"/>
        <v/>
      </c>
      <c r="L103" s="5"/>
    </row>
    <row r="104" spans="1:12" ht="90" x14ac:dyDescent="0.25">
      <c r="A104" s="3">
        <v>103</v>
      </c>
      <c r="B104" s="3" t="s">
        <v>166</v>
      </c>
      <c r="C104" s="3" t="s">
        <v>334</v>
      </c>
      <c r="D104" s="5" t="s">
        <v>576</v>
      </c>
      <c r="E104" s="6"/>
      <c r="F104" s="6"/>
      <c r="G104" s="6"/>
      <c r="H104" s="6"/>
      <c r="I104" s="6"/>
      <c r="J104" s="3" t="str">
        <f t="shared" si="6"/>
        <v/>
      </c>
      <c r="K104" s="3" t="str">
        <f t="shared" si="7"/>
        <v/>
      </c>
      <c r="L104" s="5"/>
    </row>
    <row r="105" spans="1:12" ht="90" x14ac:dyDescent="0.25">
      <c r="A105" s="3">
        <v>104</v>
      </c>
      <c r="B105" s="3" t="s">
        <v>166</v>
      </c>
      <c r="C105" s="3" t="s">
        <v>334</v>
      </c>
      <c r="D105" s="5" t="s">
        <v>577</v>
      </c>
      <c r="E105" s="6"/>
      <c r="F105" s="6"/>
      <c r="G105" s="6"/>
      <c r="H105" s="6"/>
      <c r="I105" s="6"/>
      <c r="J105" s="3" t="str">
        <f t="shared" si="6"/>
        <v/>
      </c>
      <c r="K105" s="3" t="str">
        <f t="shared" si="7"/>
        <v/>
      </c>
      <c r="L105" s="5"/>
    </row>
    <row r="106" spans="1:12" ht="90" x14ac:dyDescent="0.25">
      <c r="A106" s="3">
        <v>105</v>
      </c>
      <c r="B106" s="3" t="s">
        <v>166</v>
      </c>
      <c r="C106" s="3" t="s">
        <v>334</v>
      </c>
      <c r="D106" s="5" t="s">
        <v>578</v>
      </c>
      <c r="E106" s="6"/>
      <c r="F106" s="6"/>
      <c r="G106" s="6"/>
      <c r="H106" s="6"/>
      <c r="I106" s="6"/>
      <c r="J106" s="3" t="str">
        <f t="shared" si="6"/>
        <v/>
      </c>
      <c r="K106" s="3" t="str">
        <f t="shared" si="7"/>
        <v/>
      </c>
      <c r="L106" s="5"/>
    </row>
    <row r="107" spans="1:12" ht="75" x14ac:dyDescent="0.25">
      <c r="A107" s="3">
        <v>106</v>
      </c>
      <c r="B107" s="3" t="s">
        <v>166</v>
      </c>
      <c r="C107" s="3" t="s">
        <v>334</v>
      </c>
      <c r="D107" s="5" t="s">
        <v>579</v>
      </c>
      <c r="E107" s="6"/>
      <c r="F107" s="6"/>
      <c r="G107" s="6"/>
      <c r="H107" s="6"/>
      <c r="I107" s="6"/>
      <c r="J107" s="3" t="str">
        <f t="shared" si="6"/>
        <v/>
      </c>
      <c r="K107" s="3" t="str">
        <f t="shared" si="7"/>
        <v/>
      </c>
      <c r="L107" s="5"/>
    </row>
    <row r="108" spans="1:12" ht="105" x14ac:dyDescent="0.25">
      <c r="A108" s="3">
        <v>107</v>
      </c>
      <c r="B108" s="3" t="s">
        <v>166</v>
      </c>
      <c r="C108" s="3" t="s">
        <v>339</v>
      </c>
      <c r="D108" s="5" t="s">
        <v>678</v>
      </c>
      <c r="E108" s="6"/>
      <c r="F108" s="6"/>
      <c r="G108" s="6"/>
      <c r="H108" s="6"/>
      <c r="I108" s="6"/>
      <c r="J108" s="3" t="str">
        <f t="shared" si="6"/>
        <v/>
      </c>
      <c r="K108" s="3" t="str">
        <f t="shared" si="7"/>
        <v/>
      </c>
      <c r="L108" s="5"/>
    </row>
    <row r="109" spans="1:12" ht="105" x14ac:dyDescent="0.25">
      <c r="A109" s="3">
        <v>108</v>
      </c>
      <c r="B109" s="3" t="s">
        <v>166</v>
      </c>
      <c r="C109" s="3" t="s">
        <v>339</v>
      </c>
      <c r="D109" s="5" t="s">
        <v>679</v>
      </c>
      <c r="E109" s="6"/>
      <c r="F109" s="6"/>
      <c r="G109" s="6"/>
      <c r="H109" s="6"/>
      <c r="I109" s="6"/>
      <c r="J109" s="3" t="str">
        <f t="shared" si="6"/>
        <v/>
      </c>
      <c r="K109" s="3" t="str">
        <f t="shared" si="7"/>
        <v/>
      </c>
      <c r="L109" s="5"/>
    </row>
    <row r="110" spans="1:12" ht="120" x14ac:dyDescent="0.25">
      <c r="A110" s="3">
        <v>109</v>
      </c>
      <c r="B110" s="3" t="s">
        <v>166</v>
      </c>
      <c r="C110" s="3" t="s">
        <v>339</v>
      </c>
      <c r="D110" s="5" t="s">
        <v>680</v>
      </c>
      <c r="E110" s="6"/>
      <c r="F110" s="6"/>
      <c r="G110" s="6"/>
      <c r="H110" s="6"/>
      <c r="I110" s="6"/>
      <c r="J110" s="3" t="str">
        <f t="shared" si="6"/>
        <v/>
      </c>
      <c r="K110" s="3" t="str">
        <f t="shared" si="7"/>
        <v/>
      </c>
      <c r="L110" s="5"/>
    </row>
    <row r="111" spans="1:12" ht="105" x14ac:dyDescent="0.25">
      <c r="A111" s="3">
        <v>110</v>
      </c>
      <c r="B111" s="3" t="s">
        <v>166</v>
      </c>
      <c r="C111" s="3" t="s">
        <v>343</v>
      </c>
      <c r="D111" s="5" t="s">
        <v>681</v>
      </c>
      <c r="E111" s="6"/>
      <c r="F111" s="6"/>
      <c r="G111" s="6"/>
      <c r="H111" s="6"/>
      <c r="I111" s="6"/>
      <c r="J111" s="3" t="str">
        <f t="shared" si="6"/>
        <v/>
      </c>
      <c r="K111" s="3" t="str">
        <f t="shared" si="7"/>
        <v/>
      </c>
      <c r="L111" s="5"/>
    </row>
    <row r="112" spans="1:12" ht="105" x14ac:dyDescent="0.25">
      <c r="A112" s="3">
        <v>111</v>
      </c>
      <c r="B112" s="3" t="s">
        <v>166</v>
      </c>
      <c r="C112" s="3" t="s">
        <v>343</v>
      </c>
      <c r="D112" s="5" t="s">
        <v>682</v>
      </c>
      <c r="E112" s="6"/>
      <c r="F112" s="6"/>
      <c r="G112" s="6"/>
      <c r="H112" s="6"/>
      <c r="I112" s="6"/>
      <c r="J112" s="3" t="str">
        <f t="shared" si="6"/>
        <v/>
      </c>
      <c r="K112" s="3" t="str">
        <f t="shared" si="7"/>
        <v/>
      </c>
      <c r="L112"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0_TongHop</vt:lpstr>
      <vt:lpstr>v1_baseline</vt:lpstr>
      <vt:lpstr>v2_skill_extraction</vt:lpstr>
      <vt:lpstr>v3_fewshot</vt:lpstr>
      <vt:lpstr>v4_situational</vt:lpstr>
      <vt:lpstr>v5_self_critique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Khanh</cp:lastModifiedBy>
  <dcterms:created xsi:type="dcterms:W3CDTF">2026-06-29T17:38:01Z</dcterms:created>
  <dcterms:modified xsi:type="dcterms:W3CDTF">2026-06-30T15:59:12Z</dcterms:modified>
</cp:coreProperties>
</file>