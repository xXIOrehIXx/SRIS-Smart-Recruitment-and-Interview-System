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ong_dan" sheetId="1" state="visible" r:id="rId3"/>
    <sheet name="Rubric" sheetId="2" state="visible" r:id="rId4"/>
    <sheet name="Cham_diem" sheetId="3" state="visible" r:id="rId5"/>
    <sheet name="Tong_hop_vers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<sst xmlns="http://schemas.openxmlformats.org/spreadsheetml/2006/main" count="87" uniqueCount="80">
  <si>
    <t xml:space="preserve">CÔNG CỤ ĐÁNH GIÁ GEN QUIZ — Bước 1 (Section 16)</t>
  </si>
  <si>
    <t xml:space="preserve">Mục đích: đo chất lượng câu quiz do pipeline AI sinh ra, so sánh giữa các version prompt (v1→v5).</t>
  </si>
  <si>
    <t xml:space="preserve">Đây là TẦNG RUBRIC (người chấm). Tầng tự động (% JSON hợp lệ, % câu đúng 1 đáp án, % trùng, % tình huống) đo bằng code khi chạy pipeline — không nằm trong file này.</t>
  </si>
  <si>
    <t xml:space="preserve">CÁCH DÙNG:</t>
  </si>
  <si>
    <t xml:space="preserve">1. Chạy pipeline (v1, rồi v2...) trên bộ jd_test_set.json → sinh câu quiz.</t>
  </si>
  <si>
    <t xml:space="preserve">2. Với mỗi câu, mở sheet 'Cham_diem', điền: Version, JD_id, Skill, tóm tắt câu hỏi, và CHẤM 5 tiêu chí (0-5).</t>
  </si>
  <si>
    <t xml:space="preserve">3. Cột 'Diem_TB' và 'Dat' tự tính. 'Dat' = 1 nếu điểm TB câu &gt;= 4 (ngưỡng đạt, sửa được ở công thức nếu muốn).</t>
  </si>
  <si>
    <t xml:space="preserve">4. Sheet 'Tong_hop_version' tự tổng hợp pass-rate + điểm TB cho từng version.</t>
  </si>
  <si>
    <t xml:space="preserve">NGUYÊN TẮC (slide môn học):</t>
  </si>
  <si>
    <t xml:space="preserve">- Mọi version chạy trên CÙNG bộ JD test. Mỗi version chỉ đổi ĐÚNG 1 yếu tố so với bản trước.</t>
  </si>
  <si>
    <t xml:space="preserve">- Pass-rate là con số định lượng chốt cho gen quiz (thay vai trò F1 — F1 để dành cho CV scoring).</t>
  </si>
  <si>
    <t xml:space="preserve">- Ghi số NGAY lúc chạy, đừng để tới lúc viết báo cáo mới nhớ lại.</t>
  </si>
  <si>
    <t xml:space="preserve">LƯU Ý: 3 dòng nền vàng trong 'Cham_diem' là VÍ DỤ minh họa cách điền — xóa đi khi chạy thật.</t>
  </si>
  <si>
    <t xml:space="preserve">RUBRIC CHẤM 1 CÂU MCQ — mỗi tiêu chí thang 0-5</t>
  </si>
  <si>
    <t xml:space="preserve">Tiêu chí</t>
  </si>
  <si>
    <t xml:space="preserve">Hỏi gì</t>
  </si>
  <si>
    <t xml:space="preserve">0 điểm</t>
  </si>
  <si>
    <t xml:space="preserve">5 điểm</t>
  </si>
  <si>
    <t xml:space="preserve">Correctness (Tính đúng)</t>
  </si>
  <si>
    <t xml:space="preserve">Có đúng MỘT đáp án đúng không?</t>
  </si>
  <si>
    <t xml:space="preserve">Sai đáp án / nhiều đáp án đúng</t>
  </si>
  <si>
    <t xml:space="preserve">Đúng duy nhất 1 đáp án</t>
  </si>
  <si>
    <t xml:space="preserve">Relevance (Bám JD)</t>
  </si>
  <si>
    <t xml:space="preserve">Câu có khớp skill trong JD không?</t>
  </si>
  <si>
    <t xml:space="preserve">Lạc đề hoàn toàn</t>
  </si>
  <si>
    <t xml:space="preserve">Đúng skill, đúng trọng tâm vị trí</t>
  </si>
  <si>
    <t xml:space="preserve">Distractor (Đáp án nhiễu)</t>
  </si>
  <si>
    <t xml:space="preserve">3 đáp án sai có hợp lý không?</t>
  </si>
  <si>
    <t xml:space="preserve">Lộ liễu, dễ loại ngay</t>
  </si>
  <si>
    <t xml:space="preserve">Đều hợp lý, dựa lỗi hiểu sai thật</t>
  </si>
  <si>
    <t xml:space="preserve">Tình huống</t>
  </si>
  <si>
    <t xml:space="preserve">Câu áp dụng hay hỏi thuộc lòng?</t>
  </si>
  <si>
    <t xml:space="preserve">Tra Google 10s ra đáp án</t>
  </si>
  <si>
    <t xml:space="preserve">Tình huống, phải hiểu mới làm được</t>
  </si>
  <si>
    <t xml:space="preserve">Rõ ràng</t>
  </si>
  <si>
    <t xml:space="preserve">Câu chữ rõ, đúng độ khó cấp vị trí?</t>
  </si>
  <si>
    <t xml:space="preserve">Mơ hồ / sai cấp vị trí</t>
  </si>
  <si>
    <t xml:space="preserve">Rõ ràng, đúng cấp Junior/Senior</t>
  </si>
  <si>
    <t xml:space="preserve">Khuyến nghị slide: chọn 3-5 tiêu chí. Gọn thì lấy 3 cái đầu (Correctness, Relevance, Distractor).</t>
  </si>
  <si>
    <t xml:space="preserve">CHẤM ĐIỂM CHI TIẾT TỪNG CÂU</t>
  </si>
  <si>
    <t xml:space="preserve">STT</t>
  </si>
  <si>
    <t xml:space="preserve">Version</t>
  </si>
  <si>
    <t xml:space="preserve">JD_id</t>
  </si>
  <si>
    <t xml:space="preserve">Skill</t>
  </si>
  <si>
    <t xml:space="preserve">Câu hỏi (tóm tắt)</t>
  </si>
  <si>
    <t xml:space="preserve">Correctness</t>
  </si>
  <si>
    <t xml:space="preserve">Relevance</t>
  </si>
  <si>
    <t xml:space="preserve">Distractor</t>
  </si>
  <si>
    <t xml:space="preserve">Điểm TB</t>
  </si>
  <si>
    <t xml:space="preserve">Đạt</t>
  </si>
  <si>
    <t xml:space="preserve">Ghi chú</t>
  </si>
  <si>
    <t xml:space="preserve">v1_baseline</t>
  </si>
  <si>
    <t xml:space="preserve">dev_dotnet_junior</t>
  </si>
  <si>
    <t xml:space="preserve">C# OOP</t>
  </si>
  <si>
    <t xml:space="preserve">Tính đóng gói (encapsulation) trong C# là gì?</t>
  </si>
  <si>
    <t xml:space="preserve">Hỏi định nghĩa, distractor lộ</t>
  </si>
  <si>
    <t xml:space="preserve">SQL</t>
  </si>
  <si>
    <t xml:space="preserve">Lệnh nào lấy dữ liệu từ bảng?</t>
  </si>
  <si>
    <t xml:space="preserve">Đúng nhưng quá dễ, không tình huống</t>
  </si>
  <si>
    <t xml:space="preserve">ketoan_tonghop_mid</t>
  </si>
  <si>
    <t xml:space="preserve">Thuế GTGT</t>
  </si>
  <si>
    <t xml:space="preserve">Thuế suất GTGT phổ thông hiện hành là bao nhiêu?</t>
  </si>
  <si>
    <t xml:space="preserve">Ổn nhưng vẫn là câu nhớ</t>
  </si>
  <si>
    <t xml:space="preserve">TỔNG HỢP &amp; SO SÁNH CÁC VERSION PROMPT</t>
  </si>
  <si>
    <t xml:space="preserve">Đổi gì so với bản trước</t>
  </si>
  <si>
    <t xml:space="preserve">Số câu chấm</t>
  </si>
  <si>
    <t xml:space="preserve">Số câu đạt</t>
  </si>
  <si>
    <t xml:space="preserve">Pass-rate</t>
  </si>
  <si>
    <t xml:space="preserve">Điểm TB / 5</t>
  </si>
  <si>
    <t xml:space="preserve">Gửi JD → gen 10 câu (1 phát) — MỐC GỐC</t>
  </si>
  <si>
    <t xml:space="preserve">v2_skill_extraction</t>
  </si>
  <si>
    <t xml:space="preserve">Thêm bước trích skill → gen theo từng skill</t>
  </si>
  <si>
    <t xml:space="preserve">v3_fewshot</t>
  </si>
  <si>
    <t xml:space="preserve">Thêm 1-2 câu mẫu (few-shot) vào prompt gen</t>
  </si>
  <si>
    <t xml:space="preserve">v4_situational</t>
  </si>
  <si>
    <t xml:space="preserve">Ép câu tình huống + ràng buộc distractor hợp lý</t>
  </si>
  <si>
    <t xml:space="preserve">v5_self_critique</t>
  </si>
  <si>
    <t xml:space="preserve">Thêm lượt AI tự soát rồi sửa</t>
  </si>
  <si>
    <t xml:space="preserve">Pass-rate = % câu đạt (điểm TB câu &gt;= 4). Đây là con số chốt để chứng minh cải tiến qua từng version.</t>
  </si>
  <si>
    <t xml:space="preserve">Lưu ý: chỉ đổi 1 yếu tố mỗi version; chạy cùng bộ JD; điền điểm vào sheet Cham_diem thì bảng này tự cập nhật.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</si>
</sst>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</row>
    <row r="2" customFormat="false" ht="15.75" hidden="false" customHeight="true" outlineLevel="0" collapsed="false">
      <c r="A2" s="2"/>
    </row>
    <row r="3" customFormat="false" ht="15.75" hidden="false" customHeight="true" outlineLevel="0" collapsed="false">
      <c r="A3" s="3" t="s">
        <v>1</v>
      </c>
    </row>
    <row r="4" customFormat="false" ht="15.75" hidden="false" customHeight="true" outlineLevel="0" collapsed="false">
      <c r="A4" s="2" t="s">
        <v>2</v>
      </c>
    </row>
    <row r="5" customFormat="false" ht="15.75" hidden="false" customHeight="true" outlineLevel="0" collapsed="false">
      <c r="A5" s="2"/>
    </row>
    <row r="6" customFormat="false" ht="15.75" hidden="false" customHeight="true" outlineLevel="0" collapsed="false">
      <c r="A6" s="3" t="s">
        <v>3</v>
      </c>
    </row>
    <row r="7" customFormat="false" ht="15.75" hidden="false" customHeight="true" outlineLevel="0" collapsed="false">
      <c r="A7" s="2" t="s">
        <v>4</v>
      </c>
    </row>
    <row r="8" customFormat="false" ht="15.75" hidden="false" customHeight="true" outlineLevel="0" collapsed="false">
      <c r="A8" s="2" t="s">
        <v>5</v>
      </c>
    </row>
    <row r="9" customFormat="false" ht="15.75" hidden="false" customHeight="true" outlineLevel="0" collapsed="false">
      <c r="A9" s="2" t="s">
        <v>6</v>
      </c>
    </row>
    <row r="10" customFormat="false" ht="15.75" hidden="false" customHeight="true" outlineLevel="0" collapsed="false">
      <c r="A10" s="2" t="s">
        <v>7</v>
      </c>
    </row>
    <row r="11" customFormat="false" ht="15.75" hidden="false" customHeight="true" outlineLevel="0" collapsed="false">
      <c r="A11" s="2"/>
    </row>
    <row r="12" customFormat="false" ht="15.75" hidden="false" customHeight="true" outlineLevel="0" collapsed="false">
      <c r="A12" s="3" t="s">
        <v>8</v>
      </c>
    </row>
    <row r="13" customFormat="false" ht="15.75" hidden="false" customHeight="true" outlineLevel="0" collapsed="false">
      <c r="A13" s="2" t="s">
        <v>9</v>
      </c>
    </row>
    <row r="14" customFormat="false" ht="15.75" hidden="false" customHeight="true" outlineLevel="0" collapsed="false">
      <c r="A14" s="2" t="s">
        <v>10</v>
      </c>
    </row>
    <row r="15" customFormat="false" ht="15.75" hidden="false" customHeight="true" outlineLevel="0" collapsed="false">
      <c r="A15" s="2" t="s">
        <v>11</v>
      </c>
    </row>
    <row r="16" customFormat="false" ht="15.75" hidden="false" customHeight="true" outlineLevel="0" collapsed="false">
      <c r="A16" s="2"/>
    </row>
    <row r="17" customFormat="false" ht="15.75" hidden="false" customHeight="tru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38"/>
  </cols>
  <sheetData>
    <row r="1" customFormat="false" ht="17.35" hidden="false" customHeight="false" outlineLevel="0" collapsed="false">
      <c r="A1" s="1" t="s">
        <v>13</v>
      </c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</row>
    <row r="4" customFormat="false" ht="31.5" hidden="false" customHeight="true" outlineLevel="0" collapsed="false">
      <c r="A4" s="5" t="s">
        <v>18</v>
      </c>
      <c r="B4" s="6" t="s">
        <v>19</v>
      </c>
      <c r="C4" s="6" t="s">
        <v>20</v>
      </c>
      <c r="D4" s="6" t="s">
        <v>21</v>
      </c>
    </row>
    <row r="5" customFormat="false" ht="31.5" hidden="false" customHeight="true" outlineLevel="0" collapsed="false">
      <c r="A5" s="5" t="s">
        <v>22</v>
      </c>
      <c r="B5" s="6" t="s">
        <v>23</v>
      </c>
      <c r="C5" s="6" t="s">
        <v>24</v>
      </c>
      <c r="D5" s="6" t="s">
        <v>25</v>
      </c>
    </row>
    <row r="6" customFormat="false" ht="31.5" hidden="false" customHeight="true" outlineLevel="0" collapsed="false">
      <c r="A6" s="5" t="s">
        <v>26</v>
      </c>
      <c r="B6" s="6" t="s">
        <v>27</v>
      </c>
      <c r="C6" s="6" t="s">
        <v>28</v>
      </c>
      <c r="D6" s="6" t="s">
        <v>29</v>
      </c>
    </row>
    <row r="7" customFormat="false" ht="31.5" hidden="false" customHeight="true" outlineLevel="0" collapsed="false">
      <c r="A7" s="5" t="s">
        <v>30</v>
      </c>
      <c r="B7" s="6" t="s">
        <v>31</v>
      </c>
      <c r="C7" s="6" t="s">
        <v>32</v>
      </c>
      <c r="D7" s="6" t="s">
        <v>33</v>
      </c>
    </row>
    <row r="8" customFormat="false" ht="31.5" hidden="false" customHeight="true" outlineLevel="0" collapsed="false">
      <c r="A8" s="5" t="s">
        <v>34</v>
      </c>
      <c r="B8" s="6" t="s">
        <v>35</v>
      </c>
      <c r="C8" s="6" t="s">
        <v>36</v>
      </c>
      <c r="D8" s="6" t="s">
        <v>37</v>
      </c>
    </row>
    <row r="10" customFormat="false" ht="15" hidden="false" customHeight="false" outlineLevel="0" collapsed="false">
      <c r="A10" s="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7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39</v>
      </c>
    </row>
    <row r="3" customFormat="false" ht="26.85" hidden="false" customHeight="false" outlineLevel="0" collapsed="false">
      <c r="A3" s="4" t="s">
        <v>40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47</v>
      </c>
      <c r="I3" s="4" t="s">
        <v>30</v>
      </c>
      <c r="J3" s="4" t="s">
        <v>34</v>
      </c>
      <c r="K3" s="4" t="s">
        <v>48</v>
      </c>
      <c r="L3" s="4" t="s">
        <v>49</v>
      </c>
      <c r="M3" s="4" t="s">
        <v>50</v>
      </c>
    </row>
    <row r="4" customFormat="false" ht="26.85" hidden="false" customHeight="false" outlineLevel="0" collapsed="false">
      <c r="A4" s="8" t="n">
        <v>1</v>
      </c>
      <c r="B4" s="9" t="s">
        <v>51</v>
      </c>
      <c r="C4" s="9" t="s">
        <v>52</v>
      </c>
      <c r="D4" s="9" t="s">
        <v>53</v>
      </c>
      <c r="E4" s="9" t="s">
        <v>54</v>
      </c>
      <c r="F4" s="8" t="n">
        <v>2</v>
      </c>
      <c r="G4" s="8" t="n">
        <v>4</v>
      </c>
      <c r="H4" s="8" t="n">
        <v>1</v>
      </c>
      <c r="I4" s="8" t="n">
        <v>1</v>
      </c>
      <c r="J4" s="8" t="n">
        <v>3</v>
      </c>
      <c r="K4" s="8" t="n">
        <f aca="false">IFERROR(AVERAGE(F4:J4),"")</f>
        <v>2.2</v>
      </c>
      <c r="L4" s="8" t="n">
        <f aca="false">IF(K4="","",IF(K4&gt;=4,1,0))</f>
        <v>0</v>
      </c>
      <c r="M4" s="9" t="s">
        <v>55</v>
      </c>
    </row>
    <row r="5" customFormat="false" ht="26.85" hidden="false" customHeight="false" outlineLevel="0" collapsed="false">
      <c r="A5" s="8" t="n">
        <v>2</v>
      </c>
      <c r="B5" s="9" t="s">
        <v>51</v>
      </c>
      <c r="C5" s="9" t="s">
        <v>52</v>
      </c>
      <c r="D5" s="9" t="s">
        <v>56</v>
      </c>
      <c r="E5" s="9" t="s">
        <v>57</v>
      </c>
      <c r="F5" s="8" t="n">
        <v>5</v>
      </c>
      <c r="G5" s="8" t="n">
        <v>3</v>
      </c>
      <c r="H5" s="8" t="n">
        <v>2</v>
      </c>
      <c r="I5" s="8" t="n">
        <v>1</v>
      </c>
      <c r="J5" s="8" t="n">
        <v>4</v>
      </c>
      <c r="K5" s="8" t="n">
        <f aca="false">IFERROR(AVERAGE(F5:J5),"")</f>
        <v>3</v>
      </c>
      <c r="L5" s="8" t="n">
        <f aca="false">IF(K5="","",IF(K5&gt;=4,1,0))</f>
        <v>0</v>
      </c>
      <c r="M5" s="9" t="s">
        <v>58</v>
      </c>
    </row>
    <row r="6" customFormat="false" ht="26.85" hidden="false" customHeight="false" outlineLevel="0" collapsed="false">
      <c r="A6" s="8" t="n">
        <v>3</v>
      </c>
      <c r="B6" s="9" t="s">
        <v>51</v>
      </c>
      <c r="C6" s="9" t="s">
        <v>59</v>
      </c>
      <c r="D6" s="9" t="s">
        <v>60</v>
      </c>
      <c r="E6" s="9" t="s">
        <v>61</v>
      </c>
      <c r="F6" s="8" t="n">
        <v>5</v>
      </c>
      <c r="G6" s="8" t="n">
        <v>4</v>
      </c>
      <c r="H6" s="8" t="n">
        <v>3</v>
      </c>
      <c r="I6" s="8" t="n">
        <v>2</v>
      </c>
      <c r="J6" s="8" t="n">
        <v>4</v>
      </c>
      <c r="K6" s="8" t="n">
        <f aca="false">IFERROR(AVERAGE(F6:J6),"")</f>
        <v>3.6</v>
      </c>
      <c r="L6" s="8" t="n">
        <f aca="false">IF(K6="","",IF(K6&gt;=4,1,0))</f>
        <v>0</v>
      </c>
      <c r="M6" s="9" t="s">
        <v>62</v>
      </c>
    </row>
    <row r="7" customFormat="false" ht="15" hidden="false" customHeight="false" outlineLevel="0" collapsed="false">
      <c r="A7" s="10"/>
      <c r="B7" s="6"/>
      <c r="C7" s="6"/>
      <c r="D7" s="6"/>
      <c r="E7" s="6"/>
      <c r="F7" s="10"/>
      <c r="G7" s="10"/>
      <c r="H7" s="10"/>
      <c r="I7" s="10"/>
      <c r="J7" s="10"/>
      <c r="K7" s="10" t="str">
        <f aca="false">IFERROR(AVERAGE(F7:J7),"")</f>
        <v/>
      </c>
      <c r="L7" s="10" t="str">
        <f aca="false">IF(K7="","",IF(K7&gt;=4,1,0))</f>
        <v/>
      </c>
      <c r="M7" s="6"/>
    </row>
    <row r="8" customFormat="false" ht="15" hidden="false" customHeight="false" outlineLevel="0" collapsed="false">
      <c r="A8" s="10"/>
      <c r="B8" s="6"/>
      <c r="C8" s="6"/>
      <c r="D8" s="6"/>
      <c r="E8" s="6"/>
      <c r="F8" s="10"/>
      <c r="G8" s="10"/>
      <c r="H8" s="10"/>
      <c r="I8" s="10"/>
      <c r="J8" s="10"/>
      <c r="K8" s="10" t="str">
        <f aca="false">IFERROR(AVERAGE(F8:J8),"")</f>
        <v/>
      </c>
      <c r="L8" s="10" t="str">
        <f aca="false">IF(K8="","",IF(K8&gt;=4,1,0))</f>
        <v/>
      </c>
      <c r="M8" s="6"/>
    </row>
    <row r="9" customFormat="false" ht="15" hidden="false" customHeight="false" outlineLevel="0" collapsed="false">
      <c r="A9" s="10"/>
      <c r="B9" s="6"/>
      <c r="C9" s="6"/>
      <c r="D9" s="6"/>
      <c r="E9" s="6"/>
      <c r="F9" s="10"/>
      <c r="G9" s="10"/>
      <c r="H9" s="10"/>
      <c r="I9" s="10"/>
      <c r="J9" s="10"/>
      <c r="K9" s="10" t="str">
        <f aca="false">IFERROR(AVERAGE(F9:J9),"")</f>
        <v/>
      </c>
      <c r="L9" s="10" t="str">
        <f aca="false">IF(K9="","",IF(K9&gt;=4,1,0))</f>
        <v/>
      </c>
      <c r="M9" s="6"/>
    </row>
    <row r="10" customFormat="false" ht="15" hidden="false" customHeight="false" outlineLevel="0" collapsed="false">
      <c r="A10" s="10"/>
      <c r="B10" s="6"/>
      <c r="C10" s="6"/>
      <c r="D10" s="6"/>
      <c r="E10" s="6"/>
      <c r="F10" s="10"/>
      <c r="G10" s="10"/>
      <c r="H10" s="10"/>
      <c r="I10" s="10"/>
      <c r="J10" s="10"/>
      <c r="K10" s="10" t="str">
        <f aca="false">IFERROR(AVERAGE(F10:J10),"")</f>
        <v/>
      </c>
      <c r="L10" s="10" t="str">
        <f aca="false">IF(K10="","",IF(K10&gt;=4,1,0))</f>
        <v/>
      </c>
      <c r="M10" s="6"/>
    </row>
    <row r="11" customFormat="false" ht="15" hidden="false" customHeight="false" outlineLevel="0" collapsed="false">
      <c r="A11" s="10"/>
      <c r="B11" s="6"/>
      <c r="C11" s="6"/>
      <c r="D11" s="6"/>
      <c r="E11" s="6"/>
      <c r="F11" s="10"/>
      <c r="G11" s="10"/>
      <c r="H11" s="10"/>
      <c r="I11" s="10"/>
      <c r="J11" s="10"/>
      <c r="K11" s="10" t="str">
        <f aca="false">IFERROR(AVERAGE(F11:J11),"")</f>
        <v/>
      </c>
      <c r="L11" s="10" t="str">
        <f aca="false">IF(K11="","",IF(K11&gt;=4,1,0))</f>
        <v/>
      </c>
      <c r="M11" s="6"/>
    </row>
    <row r="12" customFormat="false" ht="15" hidden="false" customHeight="false" outlineLevel="0" collapsed="false">
      <c r="A12" s="10"/>
      <c r="B12" s="6"/>
      <c r="C12" s="6"/>
      <c r="D12" s="6"/>
      <c r="E12" s="6"/>
      <c r="F12" s="10"/>
      <c r="G12" s="10"/>
      <c r="H12" s="10"/>
      <c r="I12" s="10"/>
      <c r="J12" s="10"/>
      <c r="K12" s="10" t="str">
        <f aca="false">IFERROR(AVERAGE(F12:J12),"")</f>
        <v/>
      </c>
      <c r="L12" s="10" t="str">
        <f aca="false">IF(K12="","",IF(K12&gt;=4,1,0))</f>
        <v/>
      </c>
      <c r="M12" s="6"/>
    </row>
    <row r="13" customFormat="false" ht="15" hidden="false" customHeight="false" outlineLevel="0" collapsed="false">
      <c r="A13" s="10"/>
      <c r="B13" s="6"/>
      <c r="C13" s="6"/>
      <c r="D13" s="6"/>
      <c r="E13" s="6"/>
      <c r="F13" s="10"/>
      <c r="G13" s="10"/>
      <c r="H13" s="10"/>
      <c r="I13" s="10"/>
      <c r="J13" s="10"/>
      <c r="K13" s="10" t="str">
        <f aca="false">IFERROR(AVERAGE(F13:J13),"")</f>
        <v/>
      </c>
      <c r="L13" s="10" t="str">
        <f aca="false">IF(K13="","",IF(K13&gt;=4,1,0))</f>
        <v/>
      </c>
      <c r="M13" s="6"/>
    </row>
    <row r="14" customFormat="false" ht="15" hidden="false" customHeight="false" outlineLevel="0" collapsed="false">
      <c r="A14" s="10"/>
      <c r="B14" s="6"/>
      <c r="C14" s="6"/>
      <c r="D14" s="6"/>
      <c r="E14" s="6"/>
      <c r="F14" s="10"/>
      <c r="G14" s="10"/>
      <c r="H14" s="10"/>
      <c r="I14" s="10"/>
      <c r="J14" s="10"/>
      <c r="K14" s="10" t="str">
        <f aca="false">IFERROR(AVERAGE(F14:J14),"")</f>
        <v/>
      </c>
      <c r="L14" s="10" t="str">
        <f aca="false">IF(K14="","",IF(K14&gt;=4,1,0))</f>
        <v/>
      </c>
      <c r="M14" s="6"/>
    </row>
    <row r="15" customFormat="false" ht="15" hidden="false" customHeight="false" outlineLevel="0" collapsed="false">
      <c r="A15" s="10"/>
      <c r="B15" s="6"/>
      <c r="C15" s="6"/>
      <c r="D15" s="6"/>
      <c r="E15" s="6"/>
      <c r="F15" s="10"/>
      <c r="G15" s="10"/>
      <c r="H15" s="10"/>
      <c r="I15" s="10"/>
      <c r="J15" s="10"/>
      <c r="K15" s="10" t="str">
        <f aca="false">IFERROR(AVERAGE(F15:J15),"")</f>
        <v/>
      </c>
      <c r="L15" s="10" t="str">
        <f aca="false">IF(K15="","",IF(K15&gt;=4,1,0))</f>
        <v/>
      </c>
      <c r="M15" s="6"/>
    </row>
    <row r="16" customFormat="false" ht="15" hidden="false" customHeight="false" outlineLevel="0" collapsed="false">
      <c r="A16" s="10"/>
      <c r="B16" s="6"/>
      <c r="C16" s="6"/>
      <c r="D16" s="6"/>
      <c r="E16" s="6"/>
      <c r="F16" s="10"/>
      <c r="G16" s="10"/>
      <c r="H16" s="10"/>
      <c r="I16" s="10"/>
      <c r="J16" s="10"/>
      <c r="K16" s="10" t="str">
        <f aca="false">IFERROR(AVERAGE(F16:J16),"")</f>
        <v/>
      </c>
      <c r="L16" s="10" t="str">
        <f aca="false">IF(K16="","",IF(K16&gt;=4,1,0))</f>
        <v/>
      </c>
      <c r="M16" s="6"/>
    </row>
    <row r="17" customFormat="false" ht="15" hidden="false" customHeight="false" outlineLevel="0" collapsed="false">
      <c r="A17" s="10"/>
      <c r="B17" s="6"/>
      <c r="C17" s="6"/>
      <c r="D17" s="6"/>
      <c r="E17" s="6"/>
      <c r="F17" s="10"/>
      <c r="G17" s="10"/>
      <c r="H17" s="10"/>
      <c r="I17" s="10"/>
      <c r="J17" s="10"/>
      <c r="K17" s="10" t="str">
        <f aca="false">IFERROR(AVERAGE(F17:J17),"")</f>
        <v/>
      </c>
      <c r="L17" s="10" t="str">
        <f aca="false">IF(K17="","",IF(K17&gt;=4,1,0))</f>
        <v/>
      </c>
      <c r="M17" s="6"/>
    </row>
    <row r="18" customFormat="false" ht="15" hidden="false" customHeight="false" outlineLevel="0" collapsed="false">
      <c r="A18" s="10"/>
      <c r="B18" s="6"/>
      <c r="C18" s="6"/>
      <c r="D18" s="6"/>
      <c r="E18" s="6"/>
      <c r="F18" s="10"/>
      <c r="G18" s="10"/>
      <c r="H18" s="10"/>
      <c r="I18" s="10"/>
      <c r="J18" s="10"/>
      <c r="K18" s="10" t="str">
        <f aca="false">IFERROR(AVERAGE(F18:J18),"")</f>
        <v/>
      </c>
      <c r="L18" s="10" t="str">
        <f aca="false">IF(K18="","",IF(K18&gt;=4,1,0))</f>
        <v/>
      </c>
      <c r="M18" s="6"/>
    </row>
    <row r="19" customFormat="false" ht="15" hidden="false" customHeight="false" outlineLevel="0" collapsed="false">
      <c r="A19" s="10"/>
      <c r="B19" s="6"/>
      <c r="C19" s="6"/>
      <c r="D19" s="6"/>
      <c r="E19" s="6"/>
      <c r="F19" s="10"/>
      <c r="G19" s="10"/>
      <c r="H19" s="10"/>
      <c r="I19" s="10"/>
      <c r="J19" s="10"/>
      <c r="K19" s="10" t="str">
        <f aca="false">IFERROR(AVERAGE(F19:J19),"")</f>
        <v/>
      </c>
      <c r="L19" s="10" t="str">
        <f aca="false">IF(K19="","",IF(K19&gt;=4,1,0))</f>
        <v/>
      </c>
      <c r="M19" s="6"/>
    </row>
    <row r="20" customFormat="false" ht="15" hidden="false" customHeight="false" outlineLevel="0" collapsed="false">
      <c r="A20" s="10"/>
      <c r="B20" s="6"/>
      <c r="C20" s="6"/>
      <c r="D20" s="6"/>
      <c r="E20" s="6"/>
      <c r="F20" s="10"/>
      <c r="G20" s="10"/>
      <c r="H20" s="10"/>
      <c r="I20" s="10"/>
      <c r="J20" s="10"/>
      <c r="K20" s="10" t="str">
        <f aca="false">IFERROR(AVERAGE(F20:J20),"")</f>
        <v/>
      </c>
      <c r="L20" s="10" t="str">
        <f aca="false">IF(K20="","",IF(K20&gt;=4,1,0))</f>
        <v/>
      </c>
      <c r="M20" s="6"/>
    </row>
    <row r="21" customFormat="false" ht="15" hidden="false" customHeight="false" outlineLevel="0" collapsed="false">
      <c r="A21" s="10"/>
      <c r="B21" s="6"/>
      <c r="C21" s="6"/>
      <c r="D21" s="6"/>
      <c r="E21" s="6"/>
      <c r="F21" s="10"/>
      <c r="G21" s="10"/>
      <c r="H21" s="10"/>
      <c r="I21" s="10"/>
      <c r="J21" s="10"/>
      <c r="K21" s="10" t="str">
        <f aca="false">IFERROR(AVERAGE(F21:J21),"")</f>
        <v/>
      </c>
      <c r="L21" s="10" t="str">
        <f aca="false">IF(K21="","",IF(K21&gt;=4,1,0))</f>
        <v/>
      </c>
      <c r="M21" s="6"/>
    </row>
    <row r="22" customFormat="false" ht="15" hidden="false" customHeight="false" outlineLevel="0" collapsed="false">
      <c r="A22" s="10"/>
      <c r="B22" s="6"/>
      <c r="C22" s="6"/>
      <c r="D22" s="6"/>
      <c r="E22" s="6"/>
      <c r="F22" s="10"/>
      <c r="G22" s="10"/>
      <c r="H22" s="10"/>
      <c r="I22" s="10"/>
      <c r="J22" s="10"/>
      <c r="K22" s="10" t="str">
        <f aca="false">IFERROR(AVERAGE(F22:J22),"")</f>
        <v/>
      </c>
      <c r="L22" s="10" t="str">
        <f aca="false">IF(K22="","",IF(K22&gt;=4,1,0))</f>
        <v/>
      </c>
      <c r="M22" s="6"/>
    </row>
    <row r="23" customFormat="false" ht="15" hidden="false" customHeight="false" outlineLevel="0" collapsed="false">
      <c r="A23" s="10"/>
      <c r="B23" s="6"/>
      <c r="C23" s="6"/>
      <c r="D23" s="6"/>
      <c r="E23" s="6"/>
      <c r="F23" s="10"/>
      <c r="G23" s="10"/>
      <c r="H23" s="10"/>
      <c r="I23" s="10"/>
      <c r="J23" s="10"/>
      <c r="K23" s="10" t="str">
        <f aca="false">IFERROR(AVERAGE(F23:J23),"")</f>
        <v/>
      </c>
      <c r="L23" s="10" t="str">
        <f aca="false">IF(K23="","",IF(K23&gt;=4,1,0))</f>
        <v/>
      </c>
      <c r="M23" s="6"/>
    </row>
    <row r="24" customFormat="false" ht="15" hidden="false" customHeight="false" outlineLevel="0" collapsed="false">
      <c r="A24" s="10"/>
      <c r="B24" s="6"/>
      <c r="C24" s="6"/>
      <c r="D24" s="6"/>
      <c r="E24" s="6"/>
      <c r="F24" s="10"/>
      <c r="G24" s="10"/>
      <c r="H24" s="10"/>
      <c r="I24" s="10"/>
      <c r="J24" s="10"/>
      <c r="K24" s="10" t="str">
        <f aca="false">IFERROR(AVERAGE(F24:J24),"")</f>
        <v/>
      </c>
      <c r="L24" s="10" t="str">
        <f aca="false">IF(K24="","",IF(K24&gt;=4,1,0))</f>
        <v/>
      </c>
      <c r="M24" s="6"/>
    </row>
    <row r="25" customFormat="false" ht="15" hidden="false" customHeight="false" outlineLevel="0" collapsed="false">
      <c r="A25" s="10"/>
      <c r="B25" s="6"/>
      <c r="C25" s="6"/>
      <c r="D25" s="6"/>
      <c r="E25" s="6"/>
      <c r="F25" s="10"/>
      <c r="G25" s="10"/>
      <c r="H25" s="10"/>
      <c r="I25" s="10"/>
      <c r="J25" s="10"/>
      <c r="K25" s="10" t="str">
        <f aca="false">IFERROR(AVERAGE(F25:J25),"")</f>
        <v/>
      </c>
      <c r="L25" s="10" t="str">
        <f aca="false">IF(K25="","",IF(K25&gt;=4,1,0))</f>
        <v/>
      </c>
      <c r="M25" s="6"/>
    </row>
    <row r="26" customFormat="false" ht="15" hidden="false" customHeight="false" outlineLevel="0" collapsed="false">
      <c r="A26" s="10"/>
      <c r="B26" s="6"/>
      <c r="C26" s="6"/>
      <c r="D26" s="6"/>
      <c r="E26" s="6"/>
      <c r="F26" s="10"/>
      <c r="G26" s="10"/>
      <c r="H26" s="10"/>
      <c r="I26" s="10"/>
      <c r="J26" s="10"/>
      <c r="K26" s="10" t="str">
        <f aca="false">IFERROR(AVERAGE(F26:J26),"")</f>
        <v/>
      </c>
      <c r="L26" s="10" t="str">
        <f aca="false">IF(K26="","",IF(K26&gt;=4,1,0))</f>
        <v/>
      </c>
      <c r="M26" s="6"/>
    </row>
    <row r="27" customFormat="false" ht="15" hidden="false" customHeight="false" outlineLevel="0" collapsed="false">
      <c r="A27" s="10"/>
      <c r="B27" s="6"/>
      <c r="C27" s="6"/>
      <c r="D27" s="6"/>
      <c r="E27" s="6"/>
      <c r="F27" s="10"/>
      <c r="G27" s="10"/>
      <c r="H27" s="10"/>
      <c r="I27" s="10"/>
      <c r="J27" s="10"/>
      <c r="K27" s="10" t="str">
        <f aca="false">IFERROR(AVERAGE(F27:J27),"")</f>
        <v/>
      </c>
      <c r="L27" s="10" t="str">
        <f aca="false">IF(K27="","",IF(K27&gt;=4,1,0))</f>
        <v/>
      </c>
      <c r="M27" s="6"/>
    </row>
    <row r="28" customFormat="false" ht="15" hidden="false" customHeight="false" outlineLevel="0" collapsed="false">
      <c r="A28" s="10"/>
      <c r="B28" s="6"/>
      <c r="C28" s="6"/>
      <c r="D28" s="6"/>
      <c r="E28" s="6"/>
      <c r="F28" s="10"/>
      <c r="G28" s="10"/>
      <c r="H28" s="10"/>
      <c r="I28" s="10"/>
      <c r="J28" s="10"/>
      <c r="K28" s="10" t="str">
        <f aca="false">IFERROR(AVERAGE(F28:J28),"")</f>
        <v/>
      </c>
      <c r="L28" s="10" t="str">
        <f aca="false">IF(K28="","",IF(K28&gt;=4,1,0))</f>
        <v/>
      </c>
      <c r="M28" s="6"/>
    </row>
    <row r="29" customFormat="false" ht="15" hidden="false" customHeight="false" outlineLevel="0" collapsed="false">
      <c r="A29" s="10"/>
      <c r="B29" s="6"/>
      <c r="C29" s="6"/>
      <c r="D29" s="6"/>
      <c r="E29" s="6"/>
      <c r="F29" s="10"/>
      <c r="G29" s="10"/>
      <c r="H29" s="10"/>
      <c r="I29" s="10"/>
      <c r="J29" s="10"/>
      <c r="K29" s="10" t="str">
        <f aca="false">IFERROR(AVERAGE(F29:J29),"")</f>
        <v/>
      </c>
      <c r="L29" s="10" t="str">
        <f aca="false">IF(K29="","",IF(K29&gt;=4,1,0))</f>
        <v/>
      </c>
      <c r="M29" s="6"/>
    </row>
    <row r="30" customFormat="false" ht="15" hidden="false" customHeight="false" outlineLevel="0" collapsed="false">
      <c r="A30" s="10"/>
      <c r="B30" s="6"/>
      <c r="C30" s="6"/>
      <c r="D30" s="6"/>
      <c r="E30" s="6"/>
      <c r="F30" s="10"/>
      <c r="G30" s="10"/>
      <c r="H30" s="10"/>
      <c r="I30" s="10"/>
      <c r="J30" s="10"/>
      <c r="K30" s="10" t="str">
        <f aca="false">IFERROR(AVERAGE(F30:J30),"")</f>
        <v/>
      </c>
      <c r="L30" s="10" t="str">
        <f aca="false">IF(K30="","",IF(K30&gt;=4,1,0))</f>
        <v/>
      </c>
      <c r="M30" s="6"/>
    </row>
    <row r="31" customFormat="false" ht="15" hidden="false" customHeight="false" outlineLevel="0" collapsed="false">
      <c r="A31" s="10"/>
      <c r="B31" s="6"/>
      <c r="C31" s="6"/>
      <c r="D31" s="6"/>
      <c r="E31" s="6"/>
      <c r="F31" s="10"/>
      <c r="G31" s="10"/>
      <c r="H31" s="10"/>
      <c r="I31" s="10"/>
      <c r="J31" s="10"/>
      <c r="K31" s="10" t="str">
        <f aca="false">IFERROR(AVERAGE(F31:J31),"")</f>
        <v/>
      </c>
      <c r="L31" s="10" t="str">
        <f aca="false">IF(K31="","",IF(K31&gt;=4,1,0))</f>
        <v/>
      </c>
      <c r="M31" s="6"/>
    </row>
    <row r="32" customFormat="false" ht="15" hidden="false" customHeight="false" outlineLevel="0" collapsed="false">
      <c r="A32" s="10"/>
      <c r="B32" s="6"/>
      <c r="C32" s="6"/>
      <c r="D32" s="6"/>
      <c r="E32" s="6"/>
      <c r="F32" s="10"/>
      <c r="G32" s="10"/>
      <c r="H32" s="10"/>
      <c r="I32" s="10"/>
      <c r="J32" s="10"/>
      <c r="K32" s="10" t="str">
        <f aca="false">IFERROR(AVERAGE(F32:J32),"")</f>
        <v/>
      </c>
      <c r="L32" s="10" t="str">
        <f aca="false">IF(K32="","",IF(K32&gt;=4,1,0))</f>
        <v/>
      </c>
      <c r="M32" s="6"/>
    </row>
    <row r="33" customFormat="false" ht="15" hidden="false" customHeight="false" outlineLevel="0" collapsed="false">
      <c r="A33" s="10"/>
      <c r="B33" s="6"/>
      <c r="C33" s="6"/>
      <c r="D33" s="6"/>
      <c r="E33" s="6"/>
      <c r="F33" s="10"/>
      <c r="G33" s="10"/>
      <c r="H33" s="10"/>
      <c r="I33" s="10"/>
      <c r="J33" s="10"/>
      <c r="K33" s="10" t="str">
        <f aca="false">IFERROR(AVERAGE(F33:J33),"")</f>
        <v/>
      </c>
      <c r="L33" s="10" t="str">
        <f aca="false">IF(K33="","",IF(K33&gt;=4,1,0))</f>
        <v/>
      </c>
      <c r="M33" s="6"/>
    </row>
    <row r="34" customFormat="false" ht="15" hidden="false" customHeight="false" outlineLevel="0" collapsed="false">
      <c r="A34" s="10"/>
      <c r="B34" s="6"/>
      <c r="C34" s="6"/>
      <c r="D34" s="6"/>
      <c r="E34" s="6"/>
      <c r="F34" s="10"/>
      <c r="G34" s="10"/>
      <c r="H34" s="10"/>
      <c r="I34" s="10"/>
      <c r="J34" s="10"/>
      <c r="K34" s="10" t="str">
        <f aca="false">IFERROR(AVERAGE(F34:J34),"")</f>
        <v/>
      </c>
      <c r="L34" s="10" t="str">
        <f aca="false">IF(K34="","",IF(K34&gt;=4,1,0))</f>
        <v/>
      </c>
      <c r="M34" s="6"/>
    </row>
    <row r="35" customFormat="false" ht="15" hidden="false" customHeight="false" outlineLevel="0" collapsed="false">
      <c r="A35" s="10"/>
      <c r="B35" s="6"/>
      <c r="C35" s="6"/>
      <c r="D35" s="6"/>
      <c r="E35" s="6"/>
      <c r="F35" s="10"/>
      <c r="G35" s="10"/>
      <c r="H35" s="10"/>
      <c r="I35" s="10"/>
      <c r="J35" s="10"/>
      <c r="K35" s="10" t="str">
        <f aca="false">IFERROR(AVERAGE(F35:J35),"")</f>
        <v/>
      </c>
      <c r="L35" s="10" t="str">
        <f aca="false">IF(K35="","",IF(K35&gt;=4,1,0))</f>
        <v/>
      </c>
      <c r="M35" s="6"/>
    </row>
    <row r="36" customFormat="false" ht="15" hidden="false" customHeight="false" outlineLevel="0" collapsed="false">
      <c r="A36" s="10"/>
      <c r="B36" s="6"/>
      <c r="C36" s="6"/>
      <c r="D36" s="6"/>
      <c r="E36" s="6"/>
      <c r="F36" s="10"/>
      <c r="G36" s="10"/>
      <c r="H36" s="10"/>
      <c r="I36" s="10"/>
      <c r="J36" s="10"/>
      <c r="K36" s="10" t="str">
        <f aca="false">IFERROR(AVERAGE(F36:J36),"")</f>
        <v/>
      </c>
      <c r="L36" s="10" t="str">
        <f aca="false">IF(K36="","",IF(K36&gt;=4,1,0))</f>
        <v/>
      </c>
      <c r="M36" s="6"/>
    </row>
    <row r="37" customFormat="false" ht="15" hidden="false" customHeight="false" outlineLevel="0" collapsed="false">
      <c r="A37" s="10"/>
      <c r="B37" s="6"/>
      <c r="C37" s="6"/>
      <c r="D37" s="6"/>
      <c r="E37" s="6"/>
      <c r="F37" s="10"/>
      <c r="G37" s="10"/>
      <c r="H37" s="10"/>
      <c r="I37" s="10"/>
      <c r="J37" s="10"/>
      <c r="K37" s="10" t="str">
        <f aca="false">IFERROR(AVERAGE(F37:J37),"")</f>
        <v/>
      </c>
      <c r="L37" s="10" t="str">
        <f aca="false">IF(K37="","",IF(K37&gt;=4,1,0))</f>
        <v/>
      </c>
      <c r="M37" s="6"/>
    </row>
    <row r="38" customFormat="false" ht="15" hidden="false" customHeight="false" outlineLevel="0" collapsed="false">
      <c r="A38" s="10"/>
      <c r="B38" s="6"/>
      <c r="C38" s="6"/>
      <c r="D38" s="6"/>
      <c r="E38" s="6"/>
      <c r="F38" s="10"/>
      <c r="G38" s="10"/>
      <c r="H38" s="10"/>
      <c r="I38" s="10"/>
      <c r="J38" s="10"/>
      <c r="K38" s="10" t="str">
        <f aca="false">IFERROR(AVERAGE(F38:J38),"")</f>
        <v/>
      </c>
      <c r="L38" s="10" t="str">
        <f aca="false">IF(K38="","",IF(K38&gt;=4,1,0))</f>
        <v/>
      </c>
      <c r="M38" s="6"/>
    </row>
    <row r="39" customFormat="false" ht="15" hidden="false" customHeight="false" outlineLevel="0" collapsed="false">
      <c r="A39" s="10"/>
      <c r="B39" s="6"/>
      <c r="C39" s="6"/>
      <c r="D39" s="6"/>
      <c r="E39" s="6"/>
      <c r="F39" s="10"/>
      <c r="G39" s="10"/>
      <c r="H39" s="10"/>
      <c r="I39" s="10"/>
      <c r="J39" s="10"/>
      <c r="K39" s="10" t="str">
        <f aca="false">IFERROR(AVERAGE(F39:J39),"")</f>
        <v/>
      </c>
      <c r="L39" s="10" t="str">
        <f aca="false">IF(K39="","",IF(K39&gt;=4,1,0))</f>
        <v/>
      </c>
      <c r="M39" s="6"/>
    </row>
    <row r="40" customFormat="false" ht="15" hidden="false" customHeight="false" outlineLevel="0" collapsed="false">
      <c r="A40" s="10"/>
      <c r="B40" s="6"/>
      <c r="C40" s="6"/>
      <c r="D40" s="6"/>
      <c r="E40" s="6"/>
      <c r="F40" s="10"/>
      <c r="G40" s="10"/>
      <c r="H40" s="10"/>
      <c r="I40" s="10"/>
      <c r="J40" s="10"/>
      <c r="K40" s="10" t="str">
        <f aca="false">IFERROR(AVERAGE(F40:J40),"")</f>
        <v/>
      </c>
      <c r="L40" s="10" t="str">
        <f aca="false">IF(K40="","",IF(K40&gt;=4,1,0))</f>
        <v/>
      </c>
      <c r="M40" s="6"/>
    </row>
    <row r="41" customFormat="false" ht="15" hidden="false" customHeight="false" outlineLevel="0" collapsed="false">
      <c r="A41" s="10"/>
      <c r="B41" s="6"/>
      <c r="C41" s="6"/>
      <c r="D41" s="6"/>
      <c r="E41" s="6"/>
      <c r="F41" s="10"/>
      <c r="G41" s="10"/>
      <c r="H41" s="10"/>
      <c r="I41" s="10"/>
      <c r="J41" s="10"/>
      <c r="K41" s="10" t="str">
        <f aca="false">IFERROR(AVERAGE(F41:J41),"")</f>
        <v/>
      </c>
      <c r="L41" s="10" t="str">
        <f aca="false">IF(K41="","",IF(K41&gt;=4,1,0))</f>
        <v/>
      </c>
      <c r="M41" s="6"/>
    </row>
    <row r="42" customFormat="false" ht="15" hidden="false" customHeight="false" outlineLevel="0" collapsed="false">
      <c r="A42" s="10"/>
      <c r="B42" s="6"/>
      <c r="C42" s="6"/>
      <c r="D42" s="6"/>
      <c r="E42" s="6"/>
      <c r="F42" s="10"/>
      <c r="G42" s="10"/>
      <c r="H42" s="10"/>
      <c r="I42" s="10"/>
      <c r="J42" s="10"/>
      <c r="K42" s="10" t="str">
        <f aca="false">IFERROR(AVERAGE(F42:J42),"")</f>
        <v/>
      </c>
      <c r="L42" s="10" t="str">
        <f aca="false">IF(K42="","",IF(K42&gt;=4,1,0))</f>
        <v/>
      </c>
      <c r="M42" s="6"/>
    </row>
    <row r="43" customFormat="false" ht="15" hidden="false" customHeight="false" outlineLevel="0" collapsed="false">
      <c r="A43" s="10"/>
      <c r="B43" s="6"/>
      <c r="C43" s="6"/>
      <c r="D43" s="6"/>
      <c r="E43" s="6"/>
      <c r="F43" s="10"/>
      <c r="G43" s="10"/>
      <c r="H43" s="10"/>
      <c r="I43" s="10"/>
      <c r="J43" s="10"/>
      <c r="K43" s="10" t="str">
        <f aca="false">IFERROR(AVERAGE(F43:J43),"")</f>
        <v/>
      </c>
      <c r="L43" s="10" t="str">
        <f aca="false">IF(K43="","",IF(K43&gt;=4,1,0))</f>
        <v/>
      </c>
      <c r="M43" s="6"/>
    </row>
    <row r="44" customFormat="false" ht="15" hidden="false" customHeight="false" outlineLevel="0" collapsed="false">
      <c r="A44" s="10"/>
      <c r="B44" s="6"/>
      <c r="C44" s="6"/>
      <c r="D44" s="6"/>
      <c r="E44" s="6"/>
      <c r="F44" s="10"/>
      <c r="G44" s="10"/>
      <c r="H44" s="10"/>
      <c r="I44" s="10"/>
      <c r="J44" s="10"/>
      <c r="K44" s="10" t="str">
        <f aca="false">IFERROR(AVERAGE(F44:J44),"")</f>
        <v/>
      </c>
      <c r="L44" s="10" t="str">
        <f aca="false">IF(K44="","",IF(K44&gt;=4,1,0))</f>
        <v/>
      </c>
      <c r="M44" s="6"/>
    </row>
    <row r="45" customFormat="false" ht="15" hidden="false" customHeight="false" outlineLevel="0" collapsed="false">
      <c r="A45" s="10"/>
      <c r="B45" s="6"/>
      <c r="C45" s="6"/>
      <c r="D45" s="6"/>
      <c r="E45" s="6"/>
      <c r="F45" s="10"/>
      <c r="G45" s="10"/>
      <c r="H45" s="10"/>
      <c r="I45" s="10"/>
      <c r="J45" s="10"/>
      <c r="K45" s="10" t="str">
        <f aca="false">IFERROR(AVERAGE(F45:J45),"")</f>
        <v/>
      </c>
      <c r="L45" s="10" t="str">
        <f aca="false">IF(K45="","",IF(K45&gt;=4,1,0))</f>
        <v/>
      </c>
      <c r="M45" s="6"/>
    </row>
    <row r="46" customFormat="false" ht="15" hidden="false" customHeight="false" outlineLevel="0" collapsed="false">
      <c r="A46" s="10"/>
      <c r="B46" s="6"/>
      <c r="C46" s="6"/>
      <c r="D46" s="6"/>
      <c r="E46" s="6"/>
      <c r="F46" s="10"/>
      <c r="G46" s="10"/>
      <c r="H46" s="10"/>
      <c r="I46" s="10"/>
      <c r="J46" s="10"/>
      <c r="K46" s="10" t="str">
        <f aca="false">IFERROR(AVERAGE(F46:J46),"")</f>
        <v/>
      </c>
      <c r="L46" s="10" t="str">
        <f aca="false">IF(K46="","",IF(K46&gt;=4,1,0))</f>
        <v/>
      </c>
      <c r="M46" s="6"/>
    </row>
    <row r="47" customFormat="false" ht="15" hidden="false" customHeight="false" outlineLevel="0" collapsed="false">
      <c r="A47" s="10"/>
      <c r="B47" s="6"/>
      <c r="C47" s="6"/>
      <c r="D47" s="6"/>
      <c r="E47" s="6"/>
      <c r="F47" s="10"/>
      <c r="G47" s="10"/>
      <c r="H47" s="10"/>
      <c r="I47" s="10"/>
      <c r="J47" s="10"/>
      <c r="K47" s="10" t="str">
        <f aca="false">IFERROR(AVERAGE(F47:J47),"")</f>
        <v/>
      </c>
      <c r="L47" s="10" t="str">
        <f aca="false">IF(K47="","",IF(K47&gt;=4,1,0))</f>
        <v/>
      </c>
      <c r="M47" s="6"/>
    </row>
    <row r="48" customFormat="false" ht="15" hidden="false" customHeight="false" outlineLevel="0" collapsed="false">
      <c r="A48" s="10"/>
      <c r="B48" s="6"/>
      <c r="C48" s="6"/>
      <c r="D48" s="6"/>
      <c r="E48" s="6"/>
      <c r="F48" s="10"/>
      <c r="G48" s="10"/>
      <c r="H48" s="10"/>
      <c r="I48" s="10"/>
      <c r="J48" s="10"/>
      <c r="K48" s="10" t="str">
        <f aca="false">IFERROR(AVERAGE(F48:J48),"")</f>
        <v/>
      </c>
      <c r="L48" s="10" t="str">
        <f aca="false">IF(K48="","",IF(K48&gt;=4,1,0))</f>
        <v/>
      </c>
      <c r="M48" s="6"/>
    </row>
    <row r="49" customFormat="false" ht="15" hidden="false" customHeight="false" outlineLevel="0" collapsed="false">
      <c r="A49" s="10"/>
      <c r="B49" s="6"/>
      <c r="C49" s="6"/>
      <c r="D49" s="6"/>
      <c r="E49" s="6"/>
      <c r="F49" s="10"/>
      <c r="G49" s="10"/>
      <c r="H49" s="10"/>
      <c r="I49" s="10"/>
      <c r="J49" s="10"/>
      <c r="K49" s="10" t="str">
        <f aca="false">IFERROR(AVERAGE(F49:J49),"")</f>
        <v/>
      </c>
      <c r="L49" s="10" t="str">
        <f aca="false">IF(K49="","",IF(K49&gt;=4,1,0))</f>
        <v/>
      </c>
      <c r="M49" s="6"/>
    </row>
    <row r="50" customFormat="false" ht="15" hidden="false" customHeight="false" outlineLevel="0" collapsed="false">
      <c r="A50" s="10"/>
      <c r="B50" s="6"/>
      <c r="C50" s="6"/>
      <c r="D50" s="6"/>
      <c r="E50" s="6"/>
      <c r="F50" s="10"/>
      <c r="G50" s="10"/>
      <c r="H50" s="10"/>
      <c r="I50" s="10"/>
      <c r="J50" s="10"/>
      <c r="K50" s="10" t="str">
        <f aca="false">IFERROR(AVERAGE(F50:J50),"")</f>
        <v/>
      </c>
      <c r="L50" s="10" t="str">
        <f aca="false">IF(K50="","",IF(K50&gt;=4,1,0))</f>
        <v/>
      </c>
      <c r="M50" s="6"/>
    </row>
    <row r="51" customFormat="false" ht="15" hidden="false" customHeight="false" outlineLevel="0" collapsed="false">
      <c r="A51" s="10"/>
      <c r="B51" s="6"/>
      <c r="C51" s="6"/>
      <c r="D51" s="6"/>
      <c r="E51" s="6"/>
      <c r="F51" s="10"/>
      <c r="G51" s="10"/>
      <c r="H51" s="10"/>
      <c r="I51" s="10"/>
      <c r="J51" s="10"/>
      <c r="K51" s="10" t="str">
        <f aca="false">IFERROR(AVERAGE(F51:J51),"")</f>
        <v/>
      </c>
      <c r="L51" s="10" t="str">
        <f aca="false">IF(K51="","",IF(K51&gt;=4,1,0))</f>
        <v/>
      </c>
      <c r="M51" s="6"/>
    </row>
    <row r="52" customFormat="false" ht="15" hidden="false" customHeight="false" outlineLevel="0" collapsed="false">
      <c r="A52" s="10"/>
      <c r="B52" s="6"/>
      <c r="C52" s="6"/>
      <c r="D52" s="6"/>
      <c r="E52" s="6"/>
      <c r="F52" s="10"/>
      <c r="G52" s="10"/>
      <c r="H52" s="10"/>
      <c r="I52" s="10"/>
      <c r="J52" s="10"/>
      <c r="K52" s="10" t="str">
        <f aca="false">IFERROR(AVERAGE(F52:J52),"")</f>
        <v/>
      </c>
      <c r="L52" s="10" t="str">
        <f aca="false">IF(K52="","",IF(K52&gt;=4,1,0))</f>
        <v/>
      </c>
      <c r="M52" s="6"/>
    </row>
    <row r="53" customFormat="false" ht="15" hidden="false" customHeight="false" outlineLevel="0" collapsed="false">
      <c r="A53" s="10"/>
      <c r="B53" s="6"/>
      <c r="C53" s="6"/>
      <c r="D53" s="6"/>
      <c r="E53" s="6"/>
      <c r="F53" s="10"/>
      <c r="G53" s="10"/>
      <c r="H53" s="10"/>
      <c r="I53" s="10"/>
      <c r="J53" s="10"/>
      <c r="K53" s="10" t="str">
        <f aca="false">IFERROR(AVERAGE(F53:J53),"")</f>
        <v/>
      </c>
      <c r="L53" s="10" t="str">
        <f aca="false">IF(K53="","",IF(K53&gt;=4,1,0))</f>
        <v/>
      </c>
      <c r="M53" s="6"/>
    </row>
    <row r="54" customFormat="false" ht="15" hidden="false" customHeight="false" outlineLevel="0" collapsed="false">
      <c r="A54" s="10"/>
      <c r="B54" s="6"/>
      <c r="C54" s="6"/>
      <c r="D54" s="6"/>
      <c r="E54" s="6"/>
      <c r="F54" s="10"/>
      <c r="G54" s="10"/>
      <c r="H54" s="10"/>
      <c r="I54" s="10"/>
      <c r="J54" s="10"/>
      <c r="K54" s="10" t="str">
        <f aca="false">IFERROR(AVERAGE(F54:J54),"")</f>
        <v/>
      </c>
      <c r="L54" s="10" t="str">
        <f aca="false">IF(K54="","",IF(K54&gt;=4,1,0))</f>
        <v/>
      </c>
      <c r="M54" s="6"/>
    </row>
    <row r="55" customFormat="false" ht="15" hidden="false" customHeight="false" outlineLevel="0" collapsed="false">
      <c r="A55" s="10"/>
      <c r="B55" s="6"/>
      <c r="C55" s="6"/>
      <c r="D55" s="6"/>
      <c r="E55" s="6"/>
      <c r="F55" s="10"/>
      <c r="G55" s="10"/>
      <c r="H55" s="10"/>
      <c r="I55" s="10"/>
      <c r="J55" s="10"/>
      <c r="K55" s="10" t="str">
        <f aca="false">IFERROR(AVERAGE(F55:J55),"")</f>
        <v/>
      </c>
      <c r="L55" s="10" t="str">
        <f aca="false">IF(K55="","",IF(K55&gt;=4,1,0))</f>
        <v/>
      </c>
      <c r="M55" s="6"/>
    </row>
    <row r="56" customFormat="false" ht="15" hidden="false" customHeight="false" outlineLevel="0" collapsed="false">
      <c r="A56" s="10"/>
      <c r="B56" s="6"/>
      <c r="C56" s="6"/>
      <c r="D56" s="6"/>
      <c r="E56" s="6"/>
      <c r="F56" s="10"/>
      <c r="G56" s="10"/>
      <c r="H56" s="10"/>
      <c r="I56" s="10"/>
      <c r="J56" s="10"/>
      <c r="K56" s="10" t="str">
        <f aca="false">IFERROR(AVERAGE(F56:J56),"")</f>
        <v/>
      </c>
      <c r="L56" s="10" t="str">
        <f aca="false">IF(K56="","",IF(K56&gt;=4,1,0))</f>
        <v/>
      </c>
      <c r="M56" s="6"/>
    </row>
    <row r="57" customFormat="false" ht="15" hidden="false" customHeight="false" outlineLevel="0" collapsed="false">
      <c r="A57" s="10"/>
      <c r="B57" s="6"/>
      <c r="C57" s="6"/>
      <c r="D57" s="6"/>
      <c r="E57" s="6"/>
      <c r="F57" s="10"/>
      <c r="G57" s="10"/>
      <c r="H57" s="10"/>
      <c r="I57" s="10"/>
      <c r="J57" s="10"/>
      <c r="K57" s="10" t="str">
        <f aca="false">IFERROR(AVERAGE(F57:J57),"")</f>
        <v/>
      </c>
      <c r="L57" s="10" t="str">
        <f aca="false">IF(K57="","",IF(K57&gt;=4,1,0))</f>
        <v/>
      </c>
      <c r="M57" s="6"/>
    </row>
    <row r="58" customFormat="false" ht="15" hidden="false" customHeight="false" outlineLevel="0" collapsed="false">
      <c r="A58" s="10"/>
      <c r="B58" s="6"/>
      <c r="C58" s="6"/>
      <c r="D58" s="6"/>
      <c r="E58" s="6"/>
      <c r="F58" s="10"/>
      <c r="G58" s="10"/>
      <c r="H58" s="10"/>
      <c r="I58" s="10"/>
      <c r="J58" s="10"/>
      <c r="K58" s="10" t="str">
        <f aca="false">IFERROR(AVERAGE(F58:J58),"")</f>
        <v/>
      </c>
      <c r="L58" s="10" t="str">
        <f aca="false">IF(K58="","",IF(K58&gt;=4,1,0))</f>
        <v/>
      </c>
      <c r="M58" s="6"/>
    </row>
    <row r="59" customFormat="false" ht="15" hidden="false" customHeight="false" outlineLevel="0" collapsed="false">
      <c r="A59" s="10"/>
      <c r="B59" s="6"/>
      <c r="C59" s="6"/>
      <c r="D59" s="6"/>
      <c r="E59" s="6"/>
      <c r="F59" s="10"/>
      <c r="G59" s="10"/>
      <c r="H59" s="10"/>
      <c r="I59" s="10"/>
      <c r="J59" s="10"/>
      <c r="K59" s="10" t="str">
        <f aca="false">IFERROR(AVERAGE(F59:J59),"")</f>
        <v/>
      </c>
      <c r="L59" s="10" t="str">
        <f aca="false">IF(K59="","",IF(K59&gt;=4,1,0))</f>
        <v/>
      </c>
      <c r="M59" s="6"/>
    </row>
    <row r="60" customFormat="false" ht="15" hidden="false" customHeight="false" outlineLevel="0" collapsed="false">
      <c r="A60" s="10"/>
      <c r="B60" s="6"/>
      <c r="C60" s="6"/>
      <c r="D60" s="6"/>
      <c r="E60" s="6"/>
      <c r="F60" s="10"/>
      <c r="G60" s="10"/>
      <c r="H60" s="10"/>
      <c r="I60" s="10"/>
      <c r="J60" s="10"/>
      <c r="K60" s="10" t="str">
        <f aca="false">IFERROR(AVERAGE(F60:J60),"")</f>
        <v/>
      </c>
      <c r="L60" s="10" t="str">
        <f aca="false">IF(K60="","",IF(K60&gt;=4,1,0))</f>
        <v/>
      </c>
      <c r="M60" s="6"/>
    </row>
    <row r="61" customFormat="false" ht="15" hidden="false" customHeight="false" outlineLevel="0" collapsed="false">
      <c r="A61" s="10"/>
      <c r="B61" s="6"/>
      <c r="C61" s="6"/>
      <c r="D61" s="6"/>
      <c r="E61" s="6"/>
      <c r="F61" s="10"/>
      <c r="G61" s="10"/>
      <c r="H61" s="10"/>
      <c r="I61" s="10"/>
      <c r="J61" s="10"/>
      <c r="K61" s="10" t="str">
        <f aca="false">IFERROR(AVERAGE(F61:J61),"")</f>
        <v/>
      </c>
      <c r="L61" s="10" t="str">
        <f aca="false">IF(K61="","",IF(K61&gt;=4,1,0))</f>
        <v/>
      </c>
      <c r="M61" s="6"/>
    </row>
    <row r="62" customFormat="false" ht="15" hidden="false" customHeight="false" outlineLevel="0" collapsed="false">
      <c r="A62" s="10"/>
      <c r="B62" s="6"/>
      <c r="C62" s="6"/>
      <c r="D62" s="6"/>
      <c r="E62" s="6"/>
      <c r="F62" s="10"/>
      <c r="G62" s="10"/>
      <c r="H62" s="10"/>
      <c r="I62" s="10"/>
      <c r="J62" s="10"/>
      <c r="K62" s="10" t="str">
        <f aca="false">IFERROR(AVERAGE(F62:J62),"")</f>
        <v/>
      </c>
      <c r="L62" s="10" t="str">
        <f aca="false">IF(K62="","",IF(K62&gt;=4,1,0))</f>
        <v/>
      </c>
      <c r="M62" s="6"/>
    </row>
    <row r="63" customFormat="false" ht="15" hidden="false" customHeight="false" outlineLevel="0" collapsed="false">
      <c r="A63" s="10"/>
      <c r="B63" s="6"/>
      <c r="C63" s="6"/>
      <c r="D63" s="6"/>
      <c r="E63" s="6"/>
      <c r="F63" s="10"/>
      <c r="G63" s="10"/>
      <c r="H63" s="10"/>
      <c r="I63" s="10"/>
      <c r="J63" s="10"/>
      <c r="K63" s="10" t="str">
        <f aca="false">IFERROR(AVERAGE(F63:J63),"")</f>
        <v/>
      </c>
      <c r="L63" s="10" t="str">
        <f aca="false">IF(K63="","",IF(K63&gt;=4,1,0))</f>
        <v/>
      </c>
      <c r="M63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4"/>
    <col collapsed="false" customWidth="true" hidden="false" outlineLevel="0" max="6" min="3" style="0" width="13"/>
  </cols>
  <sheetData>
    <row r="1" customFormat="false" ht="17.35" hidden="false" customHeight="false" outlineLevel="0" collapsed="false">
      <c r="A1" s="1" t="s">
        <v>63</v>
      </c>
    </row>
    <row r="3" customFormat="false" ht="26.85" hidden="false" customHeight="false" outlineLevel="0" collapsed="false">
      <c r="A3" s="4" t="s">
        <v>41</v>
      </c>
      <c r="B3" s="4" t="s">
        <v>64</v>
      </c>
      <c r="C3" s="4" t="s">
        <v>65</v>
      </c>
      <c r="D3" s="4" t="s">
        <v>66</v>
      </c>
      <c r="E3" s="4" t="s">
        <v>67</v>
      </c>
      <c r="F3" s="4" t="s">
        <v>68</v>
      </c>
    </row>
    <row r="4" customFormat="false" ht="15" hidden="false" customHeight="false" outlineLevel="0" collapsed="false">
      <c r="A4" s="11" t="s">
        <v>51</v>
      </c>
      <c r="B4" s="6" t="s">
        <v>69</v>
      </c>
      <c r="C4" s="12" t="n">
        <f aca="false">COUNTIF(Cham_diem!$B$4:$B$63,$A4)</f>
        <v>3</v>
      </c>
      <c r="D4" s="12" t="n">
        <f aca="false">COUNTIFS(Cham_diem!$B$4:$B$63,$A4,Cham_diem!$L$4:$L$63,1)</f>
        <v>0</v>
      </c>
      <c r="E4" s="13" t="n">
        <f aca="false">IFERROR(D4/C4,"")</f>
        <v>0</v>
      </c>
      <c r="F4" s="14" t="n">
        <f aca="false">IFERROR(AVERAGEIF(Cham_diem!$B$4:$B$63,$A4,Cham_diem!$K$4:$K$63),"")</f>
        <v>2.93333333333333</v>
      </c>
    </row>
    <row r="5" customFormat="false" ht="15" hidden="false" customHeight="false" outlineLevel="0" collapsed="false">
      <c r="A5" s="11" t="s">
        <v>70</v>
      </c>
      <c r="B5" s="6" t="s">
        <v>71</v>
      </c>
      <c r="C5" s="12" t="n">
        <f aca="false">COUNTIF(Cham_diem!$B$4:$B$63,$A5)</f>
        <v>0</v>
      </c>
      <c r="D5" s="12" t="n">
        <f aca="false">COUNTIFS(Cham_diem!$B$4:$B$63,$A5,Cham_diem!$L$4:$L$63,1)</f>
        <v>0</v>
      </c>
      <c r="E5" s="13" t="str">
        <f aca="false">IFERROR(D5/C5,"")</f>
        <v/>
      </c>
      <c r="F5" s="14" t="str">
        <f aca="false">IFERROR(AVERAGEIF(Cham_diem!$B$4:$B$63,$A5,Cham_diem!$K$4:$K$63),"")</f>
        <v/>
      </c>
    </row>
    <row r="6" customFormat="false" ht="15" hidden="false" customHeight="false" outlineLevel="0" collapsed="false">
      <c r="A6" s="11" t="s">
        <v>72</v>
      </c>
      <c r="B6" s="6" t="s">
        <v>73</v>
      </c>
      <c r="C6" s="12" t="n">
        <f aca="false">COUNTIF(Cham_diem!$B$4:$B$63,$A6)</f>
        <v>0</v>
      </c>
      <c r="D6" s="12" t="n">
        <f aca="false">COUNTIFS(Cham_diem!$B$4:$B$63,$A6,Cham_diem!$L$4:$L$63,1)</f>
        <v>0</v>
      </c>
      <c r="E6" s="13" t="str">
        <f aca="false">IFERROR(D6/C6,"")</f>
        <v/>
      </c>
      <c r="F6" s="14" t="str">
        <f aca="false">IFERROR(AVERAGEIF(Cham_diem!$B$4:$B$63,$A6,Cham_diem!$K$4:$K$63),"")</f>
        <v/>
      </c>
    </row>
    <row r="7" customFormat="false" ht="26.85" hidden="false" customHeight="false" outlineLevel="0" collapsed="false">
      <c r="A7" s="11" t="s">
        <v>74</v>
      </c>
      <c r="B7" s="6" t="s">
        <v>75</v>
      </c>
      <c r="C7" s="12" t="n">
        <f aca="false">COUNTIF(Cham_diem!$B$4:$B$63,$A7)</f>
        <v>0</v>
      </c>
      <c r="D7" s="12" t="n">
        <f aca="false">COUNTIFS(Cham_diem!$B$4:$B$63,$A7,Cham_diem!$L$4:$L$63,1)</f>
        <v>0</v>
      </c>
      <c r="E7" s="13" t="str">
        <f aca="false">IFERROR(D7/C7,"")</f>
        <v/>
      </c>
      <c r="F7" s="14" t="str">
        <f aca="false">IFERROR(AVERAGEIF(Cham_diem!$B$4:$B$63,$A7,Cham_diem!$K$4:$K$63),"")</f>
        <v/>
      </c>
    </row>
    <row r="8" customFormat="false" ht="15" hidden="false" customHeight="false" outlineLevel="0" collapsed="false">
      <c r="A8" s="11" t="s">
        <v>76</v>
      </c>
      <c r="B8" s="6" t="s">
        <v>77</v>
      </c>
      <c r="C8" s="12" t="n">
        <f aca="false">COUNTIF(Cham_diem!$B$4:$B$63,$A8)</f>
        <v>0</v>
      </c>
      <c r="D8" s="12" t="n">
        <f aca="false">COUNTIFS(Cham_diem!$B$4:$B$63,$A8,Cham_diem!$L$4:$L$63,1)</f>
        <v>0</v>
      </c>
      <c r="E8" s="13" t="str">
        <f aca="false">IFERROR(D8/C8,"")</f>
        <v/>
      </c>
      <c r="F8" s="14" t="str">
        <f aca="false">IFERROR(AVERAGEIF(Cham_diem!$B$4:$B$63,$A8,Cham_diem!$K$4:$K$63),"")</f>
        <v/>
      </c>
    </row>
    <row r="10" customFormat="false" ht="15" hidden="false" customHeight="false" outlineLevel="0" collapsed="false">
      <c r="A10" s="7" t="s">
        <v>78</v>
      </c>
    </row>
    <row r="11" customFormat="false" ht="15" hidden="false" customHeight="false" outlineLevel="0" collapsed="false">
      <c r="A11" s="7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2026-06-20T12:56:19Z</dcterms:created>
  <dc:creator>openpyxl</dc:creator>
  <dc:description/>
  <dc:language>en-US</dc:language>
  <cp:lastModifiedBy/>
  <dcterms:modified xsi:type="dcterms:W3CDTF">2026-06-20T12:56:19Z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